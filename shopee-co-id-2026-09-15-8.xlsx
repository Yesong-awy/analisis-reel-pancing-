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definedName hidden="1" localSheetId="1" name="_xlnm._FilterDatabase">Sheet2!$K$1:$M$1009</definedName>
    <definedName hidden="1" localSheetId="1" name="Z_BCC3BC4C_5378_4675_A676_E7B8F3BDD3EA_.wvu.FilterData">Sheet2!$A$1:$I$1009</definedName>
  </definedNames>
  <calcPr/>
  <customWorkbookViews>
    <customWorkbookView activeSheetId="0" maximized="1" windowHeight="0" windowWidth="0" guid="{BCC3BC4C-5378-4675-A676-E7B8F3BDD3EA}" name="Kelompokkan menurut ALAMAT"/>
  </customWorkbookViews>
  <extLst>
    <ext uri="GoogleSheetsCustomDataVersion2">
      <go:sheetsCustomData xmlns:go="http://customooxmlschemas.google.com/" r:id="rId6" roundtripDataChecksum="TTcvwVYv+8y/CAec/AkLzMbKBgA3xm49q51c+QXehh8="/>
    </ext>
  </extLst>
</workbook>
</file>

<file path=xl/sharedStrings.xml><?xml version="1.0" encoding="utf-8"?>
<sst xmlns="http://schemas.openxmlformats.org/spreadsheetml/2006/main" count="7711" uniqueCount="1481">
  <si>
    <t>REEL PANCING</t>
  </si>
  <si>
    <t>HARGA</t>
  </si>
  <si>
    <t>HARGA SEBELUM DISKON</t>
  </si>
  <si>
    <t>DISKON</t>
  </si>
  <si>
    <t>JUMLAH TERJUAL</t>
  </si>
  <si>
    <t>RATING</t>
  </si>
  <si>
    <t>ALAMAT</t>
  </si>
  <si>
    <t>GAMBAR</t>
  </si>
  <si>
    <t>Kolom 1</t>
  </si>
  <si>
    <t>Kolom 2</t>
  </si>
  <si>
    <t>Series Reel Pancing Spinning Fishing Reel 5.2:1 8 Kg</t>
  </si>
  <si>
    <t/>
  </si>
  <si>
    <t>Medan</t>
  </si>
  <si>
    <t>https://down-id.img.susercontent.com/file/sg-11134201-22090-kct1p8bcj4hv02@resize_w640_nl</t>
  </si>
  <si>
    <t>Bandar Lampung</t>
  </si>
  <si>
    <t>LIEYUWANG FD3000 Reel Pancing Spinning 12+1 Ball Bearing 5.0:1</t>
  </si>
  <si>
    <t>Surabaya</t>
  </si>
  <si>
    <t>https://down-id.img.susercontent.com/file/901ee99817026045cc7e416455cdb1c5@resize_w640_nl</t>
  </si>
  <si>
    <t>Bandung</t>
  </si>
  <si>
    <t>[ COD ] - Reel Pancing DEUKIO AR2000 Spinning Fishing Reel 5.2:1 Gear Ratio Max Drag 13KG</t>
  </si>
  <si>
    <t>https://down-id.img.susercontent.com/file/550772e66392146a6a8c69d1d8bde7f8@resize_w640_nl</t>
  </si>
  <si>
    <t>Banjarmasin</t>
  </si>
  <si>
    <t>Yumoshi KS3000  KS4000 Gulungan  Reel Pancing 14 Ball Bearing Fishing Reel 5:2:1 ( Bisa COD )</t>
  </si>
  <si>
    <t>Kab. Sukoharjo</t>
  </si>
  <si>
    <t>https://down-id.img.susercontent.com/file/ca55fc7babc01fc3e6530d70d29dc9e2@resize_w640_nl</t>
  </si>
  <si>
    <t>Bekasi</t>
  </si>
  <si>
    <t>rell deukio power handle uk 4000</t>
  </si>
  <si>
    <t>Kab. Gresik</t>
  </si>
  <si>
    <t>https://down-id.img.susercontent.com/file/011176251d0ab0969e5db8b50ebc3640@resize_w640_nl</t>
  </si>
  <si>
    <t>Bukittinggi</t>
  </si>
  <si>
    <t>Reel Pancing BE ONE DANTE 500 &amp; 800 Power Handle Dengan 11+1 Ball Bearings Ratio 5:2:1 Maksimal Drag 7Kg Tarikan Ikan Ultra Light</t>
  </si>
  <si>
    <t>Kab. Sukabumi</t>
  </si>
  <si>
    <t>https://down-id.img.susercontent.com/file/sg-11134201-22110-ebsty6687wjvb1@resize_w640_nl</t>
  </si>
  <si>
    <t>Cimahi</t>
  </si>
  <si>
    <t>reel baitcasting bc reel pancing 12+1bb max drag 10kg ratio 7.2:1 reel bc murah anti lilitan</t>
  </si>
  <si>
    <t>Tangerang</t>
  </si>
  <si>
    <t>https://down-id.img.susercontent.com/file/id-11134207-822wr-modk0m1m78cg7d@resize_w640_nl</t>
  </si>
  <si>
    <t>Depok</t>
  </si>
  <si>
    <t>DIAO DE LAI Reel Pancing Spinning Fishing Reel Gear Ratio 4.8:1 SU800</t>
  </si>
  <si>
    <t>2.0</t>
  </si>
  <si>
    <t>https://down-id.img.susercontent.com/file/id-11134201-7qukw-lgltgsfftt0p3a@resize_w640_nl</t>
  </si>
  <si>
    <t>Jakarta Barat</t>
  </si>
  <si>
    <t>YUMOSHI Gulungan Pancing Fishing Reel 3+1 Ball Bearing 5.2:1 - JL200</t>
  </si>
  <si>
    <t>2.7</t>
  </si>
  <si>
    <t>https://down-id.img.susercontent.com/file/4a9b24b3b5af3792e2e9cfb143eb5748@resize_w640_nl</t>
  </si>
  <si>
    <t>Jakarta Timur</t>
  </si>
  <si>
    <t>PROMO Reel Pancing YUMOSHI 2000 3000 5000 Series Spinning Fishing 5.2:1 12 Ball Bearing 12 Gulungan Pancing Metal Series</t>
  </si>
  <si>
    <t>3.2</t>
  </si>
  <si>
    <t>https://down-id.img.susercontent.com/file/id-11134207-7qul3-lkjaqlqdll09d0@resize_w640_nl</t>
  </si>
  <si>
    <t>Jakarta Utara</t>
  </si>
  <si>
    <t>[ COD ] - Reel Gulungan Pancing Debao DB3000A Metal Fishing Spinning Reel 10 Ball Bearing</t>
  </si>
  <si>
    <t>3.5</t>
  </si>
  <si>
    <t>https://down-id.img.susercontent.com/file/24deb8c934671f921cf71b65893d6d9f@resize_w640_nl</t>
  </si>
  <si>
    <t>Jambi</t>
  </si>
  <si>
    <t>Reel Pancing YUMOSHI MG3000 4000 6000 Series METAL Spinning Fishing Reel 5.2:1 Ball Bearing 10+1 Full Besi</t>
  </si>
  <si>
    <t>3.7</t>
  </si>
  <si>
    <t>https://down-id.img.susercontent.com/file/sg-11134201-7qvcw-lk6ge07c6a442e@resize_w640_nl</t>
  </si>
  <si>
    <t>Kab. Bantul</t>
  </si>
  <si>
    <t>TaffSPORT Metal Reel Pancing Spinning Fishing Reel 5.2:1 - NX2000</t>
  </si>
  <si>
    <t>4.0</t>
  </si>
  <si>
    <t>https://down-id.img.susercontent.com/file/sg-11134201-820mn-mnc54thtgzczb2@resize_w640_nl</t>
  </si>
  <si>
    <t>Kab. Bekasi</t>
  </si>
  <si>
    <t>[ COD ] - Reel Pancing YUMOSHI JX1000 Spinning 12 Ball Bearing 5.5:1</t>
  </si>
  <si>
    <t>https://down-id.img.susercontent.com/file/29531299a58653a379d8146e974be477@resize_w640_nl</t>
  </si>
  <si>
    <t>Kab. Bogor</t>
  </si>
  <si>
    <t>Reel PLY FISH CORTEZ HP 2000/3000 12+1BB [POWER HANDLE]</t>
  </si>
  <si>
    <t>Kab. Tangerang</t>
  </si>
  <si>
    <t>https://down-id.img.susercontent.com/file/id-11134207-7quky-lfndgsfe9m4t0c@resize_w640_nl</t>
  </si>
  <si>
    <t>Kab. Bojonegoro</t>
  </si>
  <si>
    <t>Reel Full Metal Saltwater sougayilang drag 12 kg 1000 2000 3000</t>
  </si>
  <si>
    <t>4.1</t>
  </si>
  <si>
    <t>Kab. Sragen</t>
  </si>
  <si>
    <t>https://down-id.img.susercontent.com/file/84914be332ccb7cedc58186032495609@resize_w640_nl</t>
  </si>
  <si>
    <t>Kab. Bondowoso</t>
  </si>
  <si>
    <t>Reel Pancing 1000 Series Spinning Fishing Reel 5.2:1 13 Ball Bearing Metal</t>
  </si>
  <si>
    <t>4.2</t>
  </si>
  <si>
    <t>https://down-id.img.susercontent.com/file/sg-11134201-7rblt-ll49o30z3y36dd@resize_w640_nl</t>
  </si>
  <si>
    <t>Kab. Boyolali</t>
  </si>
  <si>
    <t>Yumoshi 3000 Series Reel Pancing Fishing Reel 5.5:1 Gear Ratio - Blue</t>
  </si>
  <si>
    <t>4.3</t>
  </si>
  <si>
    <t>https://down-id.img.susercontent.com/file/5135eca4b19d876ceea66b332cd7916e@resize_w640_nl</t>
  </si>
  <si>
    <t>Kab. Cilacap</t>
  </si>
  <si>
    <t>reel spinning murah 10bb 1000 2000</t>
  </si>
  <si>
    <t>Palembang</t>
  </si>
  <si>
    <t>https://down-id.img.susercontent.com/file/sg-11134201-22110-e6wv2v29ozjv31@resize_w640_nl</t>
  </si>
  <si>
    <t>Kab. Cirebon</t>
  </si>
  <si>
    <t>DAIWA Set Joran Lure Karbon M Terbaru + Reel Spinning Logam Lengkap (Joran+Reel+Senar+Kail) Casting COD</t>
  </si>
  <si>
    <t>https://down-id.img.susercontent.com/file/id-11134207-822wo-mler4s2h1slkb5@resize_w640_nl</t>
  </si>
  <si>
    <t>Kab. Deli Serdang</t>
  </si>
  <si>
    <t>MURAH Reel Pancing Haichou TB4000 Fishing Reel 12 Ball Bearing</t>
  </si>
  <si>
    <t>https://down-id.img.susercontent.com/file/62ac53758bdcfeecde61ba29e0bb7bcb@resize_w640_nl</t>
  </si>
  <si>
    <t>Kab. Garut</t>
  </si>
  <si>
    <t>YUMOSHI SA1000 Series Reel Pancing / Gulungan Pancing Fishing Reel 5.5:1 Gear Ratio</t>
  </si>
  <si>
    <t>https://down-id.img.susercontent.com/file/bb166adbb1334aa3929dfaa6816c9e9b@resize_w640_nl</t>
  </si>
  <si>
    <t>COD - Reel Pancing Gold Sharking BK2000 - BK4000 Spinning Fishing Gear Ratio 5.2:1 Ball Bearing 13</t>
  </si>
  <si>
    <t>https://down-id.img.susercontent.com/file/6155610ae25c2253bcadc495fa6b4636@resize_w640_nl</t>
  </si>
  <si>
    <t>Kab. Jombang</t>
  </si>
  <si>
    <t>promo Reel Bc Baitcasting Lizard Camry sougayilang camry  drag 10 kg handle kiri</t>
  </si>
  <si>
    <t>https://down-id.img.susercontent.com/file/cecb22bbb4210a2a98b08037618fb307@resize_w640_nl</t>
  </si>
  <si>
    <t>Kab. Karawang</t>
  </si>
  <si>
    <t>YUMOSHI SA2000 Series Reel Pancing / Gulungan Pancing Fishing Reel 5.5:1 Gear Ratio</t>
  </si>
  <si>
    <t>4.4</t>
  </si>
  <si>
    <t>https://down-id.img.susercontent.com/file/80d434926a6abaaf154dd079d8cbd151@resize_w640_nl</t>
  </si>
  <si>
    <t>Kab. Ketapang</t>
  </si>
  <si>
    <t>Reel bc kenzi savoy kz-200. Bonus lure</t>
  </si>
  <si>
    <t>https://down-id.img.susercontent.com/file/7510aefb6dbafdc49985b7f7ffecd9d7@resize_w640_nl</t>
  </si>
  <si>
    <t>Kab. Labuhan Batu</t>
  </si>
  <si>
    <t>1.2m 1.65m Set Pancing Reel Pancing 1000-5000 5.2:1 Metal Spool Carbon Fiber Max Drag 10kg</t>
  </si>
  <si>
    <t>https://down-id.img.susercontent.com/file/sg-11134253-8259k-mgaxx0hbuv4d3e@resize_w640_nl</t>
  </si>
  <si>
    <t>Kab. Magelang</t>
  </si>
  <si>
    <t>reel pancing nx4000 14 ball bearing taffsport kerekan rill katrol</t>
  </si>
  <si>
    <t>https://down-id.img.susercontent.com/file/id-11134207-8224u-mjyys3lzy8sh49@resize_w640_nl</t>
  </si>
  <si>
    <t>Kab. Sidoarjo</t>
  </si>
  <si>
    <t>Gulungan Joran Pancing Ikan DB3000A Metal Fishing Spinning Reel 10 Ball Bearing - Golden Debao</t>
  </si>
  <si>
    <t>4.5</t>
  </si>
  <si>
    <t>Semarang</t>
  </si>
  <si>
    <t>https://down-id.img.susercontent.com/file/4ec867761e711f6bbcf145d25ec83368@resize_w640_nl</t>
  </si>
  <si>
    <t>Kab. Sleman</t>
  </si>
  <si>
    <t>Reel Baitcasting 18+1 bealbearing handle kiri drag 13 kg</t>
  </si>
  <si>
    <t>https://down-id.img.susercontent.com/file/id-11134207-23030-sa87syknifovdc@resize_w640_nl</t>
  </si>
  <si>
    <t>Reel Yumoshi SC 3000 Gulungan Pancing Memancing 8 Ball Bearing Series Electroplating Fishing Reel 8BB Spinning Reel Hand Reels For Sea Pod Rock Fishing Max 6Kg Kerekan Mancing Ikan</t>
  </si>
  <si>
    <t>https://down-id.img.susercontent.com/file/d5c9739c1a4bf36383c17de472a4b5d7@resize_w640_nl</t>
  </si>
  <si>
    <t>Reel Pancing Spinning Fishing Reel 5.5:1 Gear Ratio/Rell Rel Ril Riil Rill Sa 5000 4000 3000 2000 1000 Gulungan  Casting</t>
  </si>
  <si>
    <t>https://down-id.img.susercontent.com/file/sg-11134201-22110-cq7lvwi2ucjv19@resize_w640_nl</t>
  </si>
  <si>
    <t>COD Reel Fishing NX 2000 4000 6000 &amp; SA3000 gulungan rel rol ril Olahraga Pancing</t>
  </si>
  <si>
    <t>https://down-id.img.susercontent.com/file/dbd1af49691ad01474725fcaf10081b6@resize_w640_nl</t>
  </si>
  <si>
    <t>Rill Mini Reel Pancing Mini Rill Pena AC100 Series Mini Reel Pancing Fishing 3.0:1 50 M</t>
  </si>
  <si>
    <t>https://down-id.img.susercontent.com/file/id-11134207-7ras9-m2jgmhz752sj26@resize_w640_nl</t>
  </si>
  <si>
    <t>Kab. Temanggung</t>
  </si>
  <si>
    <t>REEL DAIWA CROSSFIRE 2000 - 3ib , 2500 - 3ib</t>
  </si>
  <si>
    <t>https://down-id.img.susercontent.com/file/sg-11134201-22100-78uqu4jcaxiv95@resize_w640_nl</t>
  </si>
  <si>
    <t>Kediri</t>
  </si>
  <si>
    <t>[ COD ] - LIEYUWANG Reel Pancing / Gulungan Pancing FD3000 Reel Pancing 12+1 Ball Bearing</t>
  </si>
  <si>
    <t>https://down-id.img.susercontent.com/file/400ca2b0f0c403ac5b51aa2fe782ae47@resize_w640_nl</t>
  </si>
  <si>
    <t>Makassar</t>
  </si>
  <si>
    <t>[ COD ] - Reel Pancing Mini PULLINE AC100 Series Mini Fishing Reel 3.0:1 Gear Ratio 50M</t>
  </si>
  <si>
    <t>https://down-id.img.susercontent.com/file/5a337dd2e65b831531c6096b586d0f76@resize_w640_nl</t>
  </si>
  <si>
    <t>Malang</t>
  </si>
  <si>
    <t>[ COD ] - Reel Pancing Gold Sharking BK4000 Spinning Fishing 5.2:1 Ball Bearing 13</t>
  </si>
  <si>
    <t>https://down-id.img.susercontent.com/file/5b5ccc339cfbf7f117e1db59e6f79a16@resize_w640_nl</t>
  </si>
  <si>
    <t>Reel Pancing SU800 Spinning Fishing Reel Kumparan Pancing Gear Ratio 4.8:1</t>
  </si>
  <si>
    <t>https://down-id.img.susercontent.com/file/8c22db457ae7fac633737de8ce6a2ee8@resize_w640_nl</t>
  </si>
  <si>
    <t>[ COD ] - Reel Pancing Gold Sharking LK/JK2000 Spinning Fishing 5.2:1 Ball Bearing 13/12</t>
  </si>
  <si>
    <t>https://down-id.img.susercontent.com/file/7fc91b97ae0c4d2f3b52dd221838b6d9@resize_w640_nl</t>
  </si>
  <si>
    <t>Pekalongan</t>
  </si>
  <si>
    <t>Reel Pancing HaiChao Mini 500 Spinning Fishing Reel Kumparan Pancing Gear Ratio 5.2:1</t>
  </si>
  <si>
    <t>https://down-id.img.susercontent.com/file/e3d218a4db1f6f7b2879738562af9f33@resize_w640_nl</t>
  </si>
  <si>
    <t>Pekanbaru</t>
  </si>
  <si>
    <t>[ COD ] - Reel Pancing / Gulungan Pancing YUMOSHI 3000 Series Fishing Reel 5.5:1 Gear Ratio - SA3000</t>
  </si>
  <si>
    <t>https://down-id.img.susercontent.com/file/1be3312ab17ab5507da0e6cbc88dfd31@resize_w640_nl</t>
  </si>
  <si>
    <t>Pontianak</t>
  </si>
  <si>
    <t>[ COD ] - Reel Pancing YUMOSHI RS3000 Rel Pancing Spinning 12 Ball Bearing 5.2:1</t>
  </si>
  <si>
    <t>https://down-id.img.susercontent.com/file/74359ca2daa57b35086dc1d52ff31a1a@resize_w640_nl</t>
  </si>
  <si>
    <t>Samarinda</t>
  </si>
  <si>
    <t>[ COD ] - Reel Pancing HE2000 - HE3000 Fishing Reel 5.2:1 Gear Ratio 10Kg Material	Metal, Aluminium</t>
  </si>
  <si>
    <t>https://down-id.img.susercontent.com/file/367005f2af5f46110b99cbfa71cd90c9@resize_w640_nl</t>
  </si>
  <si>
    <t>REEL PANCING BAHAN METAL , Deukio 13 BB,Rasio Gear 5.2:1, 3000-5000</t>
  </si>
  <si>
    <t>4.6</t>
  </si>
  <si>
    <t>https://down-id.img.susercontent.com/file/6ee930f7e7789b7d802dcbfc4b9770ae@resize_w640_nl</t>
  </si>
  <si>
    <t>Sukabumi</t>
  </si>
  <si>
    <t>GS gold SHarking BK2000 reel pancing spining fishing 5.2 1 ball bearing 13 cocok mancing di pinggir</t>
  </si>
  <si>
    <t>Tangerang Selatan</t>
  </si>
  <si>
    <t>https://down-id.img.susercontent.com/file/aaf6d74735956ca881c55f9428927b70@resize_w640_nl</t>
  </si>
  <si>
    <t>Reel Pancing UL Jigmen Tiny R-500 Mini (8 Bearing) Spool Alumunium Ultra Light Murah - Engkus Fishing</t>
  </si>
  <si>
    <t>https://down-id.img.susercontent.com/file/19a71d03d40653a8bd8cea037d648700@resize_w640_nl</t>
  </si>
  <si>
    <t>joran pancing Baitcasting Fishing Reels Ultra Light  5+1BB Fishing Reel 7.2:1 Gear Ratio Travel Bass Baitcasting Fishing Reel</t>
  </si>
  <si>
    <t>https://down-id.img.susercontent.com/file/id-11134207-822wl-mpyjs5l9uayz0b@resize_w640_nl</t>
  </si>
  <si>
    <t>DIAODELAI reel ril rill pancing gulungan pancing SU800 4.8:1 katrol kerekan pancing alat gulung pancing kumparan pancing murah</t>
  </si>
  <si>
    <t>https://down-id.img.susercontent.com/file/5b8c2435540f4c97887ade7e02489c09@resize_w640_nl</t>
  </si>
  <si>
    <t>Yogyakarta</t>
  </si>
  <si>
    <t>TaffSPORT 3000 Series Reel Pancing Spinning Fishing Reel 5.5:1 Gear Ratio - SA3000 - Silver Blue
Rp</t>
  </si>
  <si>
    <t>https://down-id.img.susercontent.com/file/id-11134201-7qul2-li1a0o6o27mmfc@resize_w640_nl</t>
  </si>
  <si>
    <t>Reel Pancing Gold Sharking reel rol real rael ril rill rel gulungan mancing ikan laut murah dan kuat</t>
  </si>
  <si>
    <t>https://down-id.img.susercontent.com/file/c01d8efc646c819c585510995b1d8bd4@resize_w640_nl</t>
  </si>
  <si>
    <t>Reel Pancing Rill Pancing Ukuran 7000 YUMOSHI Reel Pancing OE7000 12 Ball Bearing</t>
  </si>
  <si>
    <t>https://down-id.img.susercontent.com/file/id-11134207-7rasc-m23osvw0vp33dd@resize_w640_nl</t>
  </si>
  <si>
    <t>Reel Pancing Rill Pancing Gold Sharking LK2000 5000 7000 Reel Spinning 5.2:1 Ball Bearing 13/12</t>
  </si>
  <si>
    <t>https://down-id.img.susercontent.com/file/id-11134207-7rasi-m23hpaiqbkxr69@resize_w640_nl</t>
  </si>
  <si>
    <t>Reel Tokos Stainless Four Start Fx 50A Emas</t>
  </si>
  <si>
    <t>https://down-id.img.susercontent.com/file/34b2ce4fbac85e968e59da9d0964ce53@resize_w640_nl</t>
  </si>
  <si>
    <t>[ COD ] - Reel Pancing DiaoDeLai YO5000 Spinning Fishing Reel 13 Ball Bearing 5.2:1</t>
  </si>
  <si>
    <t>https://down-id.img.susercontent.com/file/4a23a660db942200a7143c51f21b0c9f@resize_w640_nl</t>
  </si>
  <si>
    <t>[ COD ] - Reel Pancing GHOTDA NX6000 Series Metal Fishing Reel 4.7:1 Gear Ratio 14 BB</t>
  </si>
  <si>
    <t>https://down-id.img.susercontent.com/file/c8e2d3ab4a22bef8d7dc3eef4c24b47b@resize_w640_nl</t>
  </si>
  <si>
    <t>COD - Reel Pancing Haichao TBS3000 Fishing Reel 12 Ball Bearing</t>
  </si>
  <si>
    <t>https://down-id.img.susercontent.com/file/71186a4b62848b0df299268623be9c3c@resize_w640_nl</t>
  </si>
  <si>
    <t>2.1M 4 Bagian Pancing Berputar + Reel Pancing Set 13 + 1BB 5.2: 1 Rasio Gigi Roda Pancing Combo</t>
  </si>
  <si>
    <t>https://down-id.img.susercontent.com/file/id-11134207-7ras8-m5xpk76julg6c7@resize_w640_nl</t>
  </si>
  <si>
    <t>reel fugu WATTAN 1000 2000 dan 3000 POWER HANDLE</t>
  </si>
  <si>
    <t>https://down-id.img.susercontent.com/file/f739e52ca4064d15e2162576be93e872@resize_w640_nl</t>
  </si>
  <si>
    <t>Reel Pancing Daido Daimos ll 1000 2000 3000 4000 6000 power handle</t>
  </si>
  <si>
    <t>https://down-id.img.susercontent.com/file/8dca91de2f94a5973f27724ff85482b0@resize_w640_nl</t>
  </si>
  <si>
    <t>Reel Pancing  Fly Fish Cruise 1000 / 2000 / 3000 ( Bonus Kail)</t>
  </si>
  <si>
    <t>https://down-id.img.susercontent.com/file/id-11134201-7qul9-lkh2emp992mxf2@resize_w640_nl</t>
  </si>
  <si>
    <t>Reel Pancing murah top lure full Metal</t>
  </si>
  <si>
    <t>https://down-id.img.susercontent.com/file/11b3b2bbd74f1263ebdccbace8b8e5da@resize_w640_nl</t>
  </si>
  <si>
    <t>Grab Medan Gold Sharking BK2000 BK4000 Reel Pancing Spinning Fishing 5.2:1 Ball Bearing 13 - GS</t>
  </si>
  <si>
    <t>REEL DK Fishing Reel Gulungan Pancing Spinning Breaking Force 16kg Ratio 5.2:1-DK1000 - Black/Blue</t>
  </si>
  <si>
    <t>4.7</t>
  </si>
  <si>
    <t>https://down-id.img.susercontent.com/file/id-11134207-7ra0q-mb7m1ety9prof2@resize_w640_nl</t>
  </si>
  <si>
    <t>Reel KAIZEN KEISUKE | 1000 sd 8000 | Kolam Sungai Laut | IFT</t>
  </si>
  <si>
    <t>https://down-id.img.susercontent.com/file/id-11134207-7rasg-m2krd4tji8r5f7@resize_w640_nl</t>
  </si>
  <si>
    <t>Reel Pancing Rill Pancing Yumoshi EF1000 3000 5000 6000 9000 Reel Pancing Spinning 12 Ball Bearing</t>
  </si>
  <si>
    <t>https://down-id.img.susercontent.com/file/id-11134207-7rasd-m2gpctlu9nuhc8@resize_w640_nl</t>
  </si>
  <si>
    <t>YUMOSHI REELSKING Reel Pancing Spinning 12 Ball Bearing</t>
  </si>
  <si>
    <t>https://down-id.img.susercontent.com/file/ce090b04070ee1db7c1ecfe64d417203@resize_w640_nl</t>
  </si>
  <si>
    <t>Gold Sharking LK 2000 5000 7000 Reel Pancing Spinning Fishing 5.2:1 Ball Bearing 13 - Black/Red</t>
  </si>
  <si>
    <t>https://down-id.img.susercontent.com/file/b01d683136a101dcbe6e2ada16f9c5e1@resize_w640_nl</t>
  </si>
  <si>
    <t>Reel FISHING  LUKE Smart Angler NINJA 1000 - 6000  13 BALL BEARING</t>
  </si>
  <si>
    <t>https://down-id.img.susercontent.com/file/7ee072a45323f73a7aca6d294a3842c0@resize_w640_nl</t>
  </si>
  <si>
    <t>Reel pancing Gold Sharking NX 6000 / 4000 / 2000  &amp; SA3000 Series  5.2:1 Gear Ratio Rel ril roll real rael gulungan mancing murah kuat power handle</t>
  </si>
  <si>
    <t>https://down-id.img.susercontent.com/file/0234b0cf3f0553dc0be207d2844cac53@resize_w640_nl</t>
  </si>
  <si>
    <t>Reel Pancing Mini Ogawa Liliput 100 body metal kuat bisa buat fishing pen</t>
  </si>
  <si>
    <t>https://down-id.img.susercontent.com/file/id-11134207-81ztq-mqr1jk8jfe2p34@resize_w640_nl</t>
  </si>
  <si>
    <t>TaffSPORT ril rill pancing Reel real Pancing NX2000 NX4000 13BB Spinning metal gulungan pancing kerekan pancing katrol pancing</t>
  </si>
  <si>
    <t>https://down-id.img.susercontent.com/file/146efad0e3ad304b8c06cfbd71926420@resize_w640_nl</t>
  </si>
  <si>
    <t>TAFFSPORT NX2000/NX4000/NX6000 Series Metal Reel Pancing Fishing Reel 4.7:1 Gear Ratio</t>
  </si>
  <si>
    <t>https://down-id.img.susercontent.com/file/476f988d7b7987d9634ac255073695c4@resize_w640_nl</t>
  </si>
  <si>
    <t>TaffSPORT Metal Reel Pancing Spinning Fishing Reel 5.2:1 - NX2000 - Black</t>
  </si>
  <si>
    <t>https://down-id.img.susercontent.com/file/e81edbdbd6d475efa73ee393927c6ef6@resize_w640_nl</t>
  </si>
  <si>
    <t>[PROMO] TaffSPORT NX2000 NX4000 NX6000 Series Metal Reel Pancing Spinning Fishing Reel Metal Ratio 4.7:1 &amp; 5.2:1 - Black</t>
  </si>
  <si>
    <t>https://down-id.img.susercontent.com/file/id-11134201-23020-4jz5cvx3kvnv3f@resize_w640_nl</t>
  </si>
  <si>
    <t>NX2000 3000 4000 5000 6000 7000 Series Metal Reel Pancing Fishing Reel 5:2:1 4:7:1 Gear Ratio</t>
  </si>
  <si>
    <t>https://down-id.img.susercontent.com/file/id-11134207-7qul3-ljhf1zqgp2qy40@resize_w640_nl</t>
  </si>
  <si>
    <t>DIAO DE LAI Reel Pancing Spinning Fishing Reel Gear Ratio 4.8:1 - S5U00</t>
  </si>
  <si>
    <t>https://down-id.img.susercontent.com/file/id-11134207-7r98r-lvlfp23ujfptc5@resize_w640_nl</t>
  </si>
  <si>
    <t>Reel Pancing Mini Full Metal Murah Rell 800 Reel 500 Promo Terbatas</t>
  </si>
  <si>
    <t>https://down-id.img.susercontent.com/file/id-11134207-7rasd-m2f9mc639v1f3a@resize_w640_nl</t>
  </si>
  <si>
    <t>COD REEL GOLD SHARKING BK2000 / BK4000 5.2:1 13 BERING PANCING | RELL PANCING RIL PANCING</t>
  </si>
  <si>
    <t>https://down-id.img.susercontent.com/file/598033dcb82d8255cedc5eab5f617e53@resize_w640_nl</t>
  </si>
  <si>
    <t>Reel Next Super  JET-2 1000 - 6000 6 Ball Bearings - Reel Spinning Pancing</t>
  </si>
  <si>
    <t>https://down-id.img.susercontent.com/file/id-11134207-7rase-m3n6xma4hjv898@resize_w640_nl</t>
  </si>
  <si>
    <t>YUMOSHI Reel pancing / rel pancing Yumoshi Gulungan Pancing EF6000 / EF1000 Metal Fishing Spinning Reel 12BB</t>
  </si>
  <si>
    <t>https://down-id.img.susercontent.com/file/39ee2a448c3d741130d4aada4f20b8ca@resize_w640_nl</t>
  </si>
  <si>
    <t>Reel Pancing Spinning Fishing Reel Kumparan 4.8:1 - SU800</t>
  </si>
  <si>
    <t>https://down-id.img.susercontent.com/file/sg-11134201-820l5-mnbpp06epfd1ba@resize_w640_nl</t>
  </si>
  <si>
    <t>Fishing handle Reel power handle ukuran 2000</t>
  </si>
  <si>
    <t>https://down-id.img.susercontent.com/file/7d250cdf919349ca79831667d1b62f6c@resize_w640_nl</t>
  </si>
  <si>
    <t>Reel Pancing 1000-6000 Rell Max Drag 10kg Spinning Reel Alloy spool Fishing Reel</t>
  </si>
  <si>
    <t>https://down-id.img.susercontent.com/file/id-11134207-7rasm-m1xn5lxacnrz56@resize_w640_nl</t>
  </si>
  <si>
    <t>Reel Pancing Metal HE500 - HE7000</t>
  </si>
  <si>
    <t>https://down-id.img.susercontent.com/file/7c23ed5c8dfe703fa31008a718b88ed7@resize_w640_nl</t>
  </si>
  <si>
    <t>Reel Pancing Gold Sharking NX 6000 / 4000 / 2000 &amp; SA2000 Series 5.2:1 Gear Ratio Rel Ril Roll Real</t>
  </si>
  <si>
    <t>https://down-id.img.susercontent.com/file/sg-11134201-22100-o45qgqu0o4ive9@resize_w640_nl</t>
  </si>
  <si>
    <t>TaffSPORT GHOTDA BK Series BK2000 BK4000 Rel Ril Rill Real Reel Pancing Murah Kuat Metal Spinning 5.2:1 Ball Bearing 13</t>
  </si>
  <si>
    <t>https://down-id.img.susercontent.com/file/sg-11134201-22110-5gnrvzpsjnjvf2@resize_w640_nl</t>
  </si>
  <si>
    <t>TaffSPORT Gold Sharking NX Series NX2000 NX4000 NX6000 Rel Real Rol Ril Gulungan Reel Pancing Murah Kuat Metal Ratio 4.7:1</t>
  </si>
  <si>
    <t>https://down-id.img.susercontent.com/file/sg-11134201-22110-mr8ksdmffhjv55@resize_w640_nl</t>
  </si>
  <si>
    <t>Reel Pancing Rill Pancing YUMOSHI RS3000 Reel Pancing Spinning 12 Ball Bearing 5.2:1</t>
  </si>
  <si>
    <t>https://down-id.img.susercontent.com/file/id-11134207-7rasj-m23hpaiq1qyn19@resize_w640_nl</t>
  </si>
  <si>
    <t>reel tegek/reel tokos/reel tokoz/reel full metal/reel metal/pancing</t>
  </si>
  <si>
    <t>https://down-id.img.susercontent.com/file/3e95cbaf3cb12eceeb18128cc8eda8a4@resize_w640_nl</t>
  </si>
  <si>
    <t>PROMO REEL TOKOS FOURSTARS FS-601 KUAT DAN ANTI KARAT</t>
  </si>
  <si>
    <t>https://down-id.img.susercontent.com/file/sg-11134201-23020-wj8ki9lxy6mvc4@resize_w640_nl</t>
  </si>
  <si>
    <t>Reel Pancing Rill Pancing Gold Sharking NX2000 Series Metal Reel Fishing Reel 5.2:1 Gear Ratio</t>
  </si>
  <si>
    <t>https://down-id.img.susercontent.com/file/id-11134207-7rasc-m22eozebdybcdf@resize_w640_nl</t>
  </si>
  <si>
    <t>Mini Reel Pancing Baitcasting Fishing 3.0:1 50 M</t>
  </si>
  <si>
    <t>https://down-id.img.susercontent.com/file/b1fcf9e4c65b6b729418b3e83db58296@resize_w640_nl</t>
  </si>
  <si>
    <t>REEL TOKOS METAL  / REEL FLY FOUR STARS FS-601 COCOK UNTUK TEGEK - tokos murah berkualitas</t>
  </si>
  <si>
    <t>https://down-id.img.susercontent.com/file/47387fb52819de34807726422981fccc@resize_w640_nl</t>
  </si>
  <si>
    <t>REEL TOKOS FULL METAL D-50 REEL TEGEK RINGAN DAN KUAT ANTI KARAT GOLD 120m</t>
  </si>
  <si>
    <t>https://down-id.img.susercontent.com/file/94aebd781267bc62493321efcfe03230@resize_w640_nl</t>
  </si>
  <si>
    <t>Reel Pancing Mini Baitcasting Fishing Reel 3.0:1 Gear Ratio 50 Meter / Gulungan Pancing Rel Ril</t>
  </si>
  <si>
    <t>https://down-id.img.susercontent.com/file/id-11134207-7r98u-luc9s54ofidub3@resize_w640_nl</t>
  </si>
  <si>
    <t>Reel Pancing DC 7.2:1 4+1BB Sougayilang Fishing Reel Left Hand/ Right Hand Max Drag 20kg</t>
  </si>
  <si>
    <t>https://down-id.img.susercontent.com/file/id-11134207-81zti-mqbe6ncq2ubl5d@resize_w640_nl</t>
  </si>
  <si>
    <t>Reel Spinning Shudun AD 10000</t>
  </si>
  <si>
    <t>https://down-id.img.susercontent.com/file/ca764b9fb97eb6b9b77ca180774e05cd@resize_w640_nl</t>
  </si>
  <si>
    <t>Reel Pancing Gold Sharking BK2000 BK4000 Series Spinning Fishing Reel 5.2:1 Ball Bearing 13</t>
  </si>
  <si>
    <t>https://down-id.img.susercontent.com/file/sg-11134201-7qvet-lk28xlu7i0fr53@resize_w640_nl</t>
  </si>
  <si>
    <t>Reel Pancing Mini SU800 Spinning Fishing Reel Gear Ratio 4.8:1</t>
  </si>
  <si>
    <t>https://down-id.img.susercontent.com/file/sg-11134201-7rbk0-lkycqxjtwchd7c@resize_w640_nl</t>
  </si>
  <si>
    <t>Reel Pancing GOLD SHARKING NX2000 4000 6000 Series Spinning Fishing 5.2:1 Gear Ratio 14 Ball Bearing</t>
  </si>
  <si>
    <t>https://down-id.img.susercontent.com/file/sg-11134201-7qvd3-ljre6wtzz0fy50@resize_w640_nl</t>
  </si>
  <si>
    <t>Gold Sharking Series Metal Reel Pancing Spinning Fishing Reel 5.2:1 Gear Ratio - Black</t>
  </si>
  <si>
    <t>https://down-id.img.susercontent.com/file/30acb4da13082ad73e2960761a598c24@resize_w640_nl</t>
  </si>
  <si>
    <t>Reel Pancing Mini Rill Mini Reel Pancing Murah Reel Pancing Mini Spinning 4.3:1 Gear Ratio - MN100</t>
  </si>
  <si>
    <t>https://down-id.img.susercontent.com/file/bb416880efd3dfe71c79f97212e2b6be@resize_w640_nl</t>
  </si>
  <si>
    <t>Reel Baitcasting GostrikeVersus Iguana 8BB - Bait Casting</t>
  </si>
  <si>
    <t>https://down-id.img.susercontent.com/file/id-11134207-7rbk0-m8y6if2qnsi91a@resize_w640_nl</t>
  </si>
  <si>
    <t>PROMO Reel 6000 Pancing NX6000 Series Metal body GOLD SHARKING Spinning Fishing Reel 5.2:1 Gear Ratio - Black - Termurah - Berkualitas - rell pancing power handle - reel kerekan rel pancing reel katrol kerekan pancing rell terkuat reel terlkuat</t>
  </si>
  <si>
    <t>https://down-id.img.susercontent.com/file/id-11134207-7ras9-m40lxrkaclfraa@resize_w640_nl</t>
  </si>
  <si>
    <t>Reel Pancing mini 100 full besi reel Spinning Fishing DAO LI SU800 /reel Terkuat [termurah promo cuci gudang bisa COD] REEL SHIMANO FUGU DAIWA SILVER RAYS REL LAUT REL GALATAMA REEL LAUT REEL GALATAMA REEL TERKUAT REEL POWER HANDEL HANDLE"</t>
  </si>
  <si>
    <t>https://down-id.img.susercontent.com/file/id-11134207-7rasl-m2biw02cpjec2a@resize_w640_nl</t>
  </si>
  <si>
    <t>REEL VERSUS METALLIC 2000 3000 4000 6000 FULL METAL BODY || POWER HANDLE Fishing Reel 8+1BB</t>
  </si>
  <si>
    <t>https://down-id.img.susercontent.com/file/dc9ce99825cf94a167fea5288e16a940@resize_w640_nl</t>
  </si>
  <si>
    <t>Ready Stok sougayilang camry reel baitcasting reel bc drag 10 kg</t>
  </si>
  <si>
    <t>https://down-id.img.susercontent.com/file/45cec8493d7fb2c5516bd780ce99a08b@resize_w640_nl</t>
  </si>
  <si>
    <t>Reel Golden Fish Tiger B TB351</t>
  </si>
  <si>
    <t>https://down-id.img.susercontent.com/file/564c0bbe44c2622efe8c96c7348388b9@resize_w640_nl</t>
  </si>
  <si>
    <t>Reel Pancing Tokoz Daido FR102 Fly Fishing COD</t>
  </si>
  <si>
    <t>https://down-id.img.susercontent.com/file/id-11134207-822wm-mnwrgtsx3i8238@resize_w640_nl</t>
  </si>
  <si>
    <t>REEL TOKOZ DAIDO FR102 FLY dijual perpcs / REEL TOKOZ</t>
  </si>
  <si>
    <t>https://down-id.img.susercontent.com/file/id-11134207-7qul4-lk4p870e83iwaf@resize_w640_nl</t>
  </si>
  <si>
    <t>REEL PANCING DEUKIO CS1000-7000 POWER HANDLE REEL</t>
  </si>
  <si>
    <t>https://down-id.img.susercontent.com/file/id-11134207-7r991-ltm4wgutua6555@resize_w640_nl</t>
  </si>
  <si>
    <t>Reel Strike 2 Speed 800 / 1000 / 2000 Power Handle ( Bonus Kail )</t>
  </si>
  <si>
    <t>https://down-id.img.susercontent.com/file/id-11134207-7r98t-ll5aqmflehxz41@resize_w640_nl</t>
  </si>
  <si>
    <t>Reel Spinning Fugu Kenta Graphite One Way 1000 2000 3000 4000 6000</t>
  </si>
  <si>
    <t>https://down-id.img.susercontent.com/file/id-11134207-7qul2-lk22n8siokyj65@resize_w640_nl</t>
  </si>
  <si>
    <t>YUMOSHI REELSKING EF9000/EF1000 Reel Pancing Spinning 12 Ball Bearing - 3ITH01SV</t>
  </si>
  <si>
    <t>https://down-id.img.susercontent.com/file/sg-11134201-22120-ot0s9uz2nilvcc@resize_w640_nl</t>
  </si>
  <si>
    <t>YUMOSHI LS4000 Reel Pancing Spinning Fishing Reel 14 Ball Bearing 5.2:1 - Black</t>
  </si>
  <si>
    <t>4.7 Penilaian Toko</t>
  </si>
  <si>
    <t>https://down-id.img.susercontent.com/file/270282872e0ead2a575cf923ea89f52c@resize_w640_nl</t>
  </si>
  <si>
    <t>METAL REEL PANCING UKURAN 800 SPINNING FISHING REEL 5:2:1</t>
  </si>
  <si>
    <t>https://down-id.img.susercontent.com/file/sg-11134201-23020-ry380zhw9cnvf3@resize_w640_nl</t>
  </si>
  <si>
    <t>REEL BC GULUNGAN PANCING BAIT CASTING VERSUS SPINNER B 201</t>
  </si>
  <si>
    <t>https://down-id.img.susercontent.com/file/d8ed2c22a762e52c7fb1fdb150e8049c@resize_w640_nl</t>
  </si>
  <si>
    <t>Reel Blood Magno Pro Ukuran 2000 3000 4000 Saltwater Power Bonus Spool Kuat Bagus Untuk Galatama Kolam Danau Laut Spinning Casting COD</t>
  </si>
  <si>
    <t>https://down-id.img.susercontent.com/file/sg-11134201-23010-ec8qd9bnvulvf1@resize_w640_nl</t>
  </si>
  <si>
    <t>Reel Pancing Gold Sharking Series NX2000 NX4000 NX6000 Rel Real Rol Ril Gulungan Reel Pancing Murah Kuat Metal Ratio 4.7:1</t>
  </si>
  <si>
    <t>https://down-id.img.susercontent.com/file/id-11134207-7r98x-lm1ehq0pd7sbd4@resize_w640_nl</t>
  </si>
  <si>
    <t>Alat pancing out door fishing reel gulungan maguro Locus ukuran 1000</t>
  </si>
  <si>
    <t>https://down-id.img.susercontent.com/file/389c9c7037cc33780c5df416d372d04f@resize_w640_nl</t>
  </si>
  <si>
    <t>Reel  Gulungan Pancing murah HEMINGWAY HMW 500 ULTRALIGHT ULTRA LIGHT UL</t>
  </si>
  <si>
    <t>https://down-id.img.susercontent.com/file/sg-11134201-23020-23bwi66od6mv52@resize_w640_nl</t>
  </si>
  <si>
    <t>YUMOSHI REELSKING EF9000 Reel Pancing Spinning 12 Ball Bearing - Silver</t>
  </si>
  <si>
    <t>https://down-id.img.susercontent.com/file/916101ce0e825d1ac50ff70960f3683a@resize_w640_nl</t>
  </si>
  <si>
    <t>Reel PLY FISH SEDONA 3000 [POWER HANDLE]</t>
  </si>
  <si>
    <t>https://down-id.img.susercontent.com/file/id-11134207-7qul8-lfnddl3f1ipva4@resize_w640_nl</t>
  </si>
  <si>
    <t>Reel Pancing Bait Runner One Way Double Drag System 13+1 Ball Bearing 5.2:1 Gear Ratio Ukuran 4000 6000</t>
  </si>
  <si>
    <t>https://down-id.img.susercontent.com/file/id-11134207-7r992-lxctqagjdlwe66@resize_w640_nl</t>
  </si>
  <si>
    <t>Taffsport Reel Pancing Mini Spinning Fishing Reel 4.3:1 Gear Ratio - MN100 - Black</t>
  </si>
  <si>
    <t>4.8</t>
  </si>
  <si>
    <t>https://down-id.img.susercontent.com/file/id-11134207-7r98o-lm8abbl2noqv66@resize_w640_nl</t>
  </si>
  <si>
    <t>Reel Xenon Diablo 11+1 Ball Bearing One way</t>
  </si>
  <si>
    <t>https://down-id.img.susercontent.com/file/sg-11134201-23020-e1ayn3b6aanvae@resize_w640_nl</t>
  </si>
  <si>
    <t>Reel silver fox II 1000 2000 6000</t>
  </si>
  <si>
    <t>https://down-id.img.susercontent.com/file/a8fb3b358ec08beb7404f161db180ca6@resize_w640_nl</t>
  </si>
  <si>
    <t>FISHING REEL - Reel Spinning Shikari Koji 1000 2000 3000 4000 6000</t>
  </si>
  <si>
    <t>https://down-id.img.susercontent.com/file/id-11134207-7qul9-lgvzg317qdgz01@resize_w640_nl</t>
  </si>
  <si>
    <t>Reel Pancing Spinning Kaizen Keisuke reel murah Indonesia Memancing</t>
  </si>
  <si>
    <t>https://down-id.img.susercontent.com/file/3b998d95113dcb851a302c4d6d3b9397@resize_w640_nl</t>
  </si>
  <si>
    <t>REEL FUGU ETSUKO 800,1000,2000,3000,4000,6000 10 BALL BEARINGS</t>
  </si>
  <si>
    <t>https://down-id.img.susercontent.com/file/069d72f6b6d4d86c2d9c87315c244f58@resize_w640_nl</t>
  </si>
  <si>
    <t>REEL PANCING YUMOSHI BARU LT2000-7000 SPOOL METAL 14 SERIES BANYAK WARNA</t>
  </si>
  <si>
    <t>https://down-id.img.susercontent.com/file/7c37f5bd8feb7a3a03a29a87f6ada7b0@resize_w640_nl</t>
  </si>
  <si>
    <t>TaffSPORT GHOTDA BK2000 BK4000 Reel Pancing Spinning Fishing 5.2:1 Ball Bearing 13 - Gun Black</t>
  </si>
  <si>
    <t>https://down-id.img.susercontent.com/file/a423a73ce96796ba128648794c9a564a@resize_w640_nl</t>
  </si>
  <si>
    <t>Reel Fly Fish  gresso 1000 2000 3000</t>
  </si>
  <si>
    <t>https://down-id.img.susercontent.com/file/b92a33a201ba3010cdfba0e071c5de1e@resize_w640_nl</t>
  </si>
  <si>
    <t>NX2000 3000 4000 5000 6000 7000 Series Metal Reel Pancing Laut Empang Sungai - Black</t>
  </si>
  <si>
    <t>https://down-id.img.susercontent.com/file/880d8f18529f5b1a2ee5cfddd88fc480@resize_w640_nl</t>
  </si>
  <si>
    <t>REEL DEBAO CS1000-7000 SPINNING REEL BEARING 8 BB BLUE MAX DRAG 5KG</t>
  </si>
  <si>
    <t>https://down-id.img.susercontent.com/file/35b67e889fd5a104786b418ffa25d244@resize_w640_nl</t>
  </si>
  <si>
    <t>reel iroly conan 1000 s/d 6000</t>
  </si>
  <si>
    <t>https://down-id.img.susercontent.com/file/sg-11134201-22100-uyb1hjj0orivff@resize_w640_nl</t>
  </si>
  <si>
    <t>NX2000 NX4000 NX6000 4.7:1 REL GULUNGAN REEL PANCING FULL METAL RATIO GOLD SHARKING NX SERIES</t>
  </si>
  <si>
    <t>https://down-id.img.susercontent.com/file/id-11134207-7r990-longptq953srb0@resize_w640_nl</t>
  </si>
  <si>
    <t>TaffSPORT Gold Sharking NX2000 NX6000  NX4000 Series Metal Reel Pancing Fishing Reel 5.2:1 Gear Ratio - Black</t>
  </si>
  <si>
    <t>https://down-id.img.susercontent.com/file/sg-11134201-7rdy2-m0ahksdgp3ji08@resize_w640_nl</t>
  </si>
  <si>
    <t>Gold Sharking BK2000 Reel Pancing Spinning Fishing 5.2:1 Bearing 13</t>
  </si>
  <si>
    <t>https://down-id.img.susercontent.com/file/3ae212dbbecd96b52f71a213402c9e98@resize_w640_nl</t>
  </si>
  <si>
    <t>Reel Pancing 12BB MAX DRAG 10KG CNC HE500 - HE7000 Gear Ratio 5:2:1 Spool Metal</t>
  </si>
  <si>
    <t>https://down-id.img.susercontent.com/file/id-11134207-7qul4-ley2bt4tq6jxe3@resize_w640_nl</t>
  </si>
  <si>
    <t>Reel Getsu Keris 1000 / 2000 / 3000</t>
  </si>
  <si>
    <t>https://down-id.img.susercontent.com/file/sg-11134201-22120-uggt3r5eq4kvc3@resize_w640_nl</t>
  </si>
  <si>
    <t>Reel Pancing NX2000 4000 6000 Alumunium Spool dan Joran FIbersolid 150cm 165cm 180cm</t>
  </si>
  <si>
    <t>https://down-id.img.susercontent.com/file/id-11134207-7ra0h-mcrxnx13t2kc41@resize_w640_nl</t>
  </si>
  <si>
    <t>reel yumoshi BL metal spool premium model 12BB</t>
  </si>
  <si>
    <t>https://down-id.img.susercontent.com/file/a5da0121b0728a827412794b95a17802@resize_w640_nl</t>
  </si>
  <si>
    <t>TaffSPORT Reel Pancing Gold Sharking NX2000 NX4000 NX6000 Metal Reel Fishing</t>
  </si>
  <si>
    <t>https://down-id.img.susercontent.com/file/id-11134207-7r98t-lwps3x26v3tq43@resize_w640_nl</t>
  </si>
  <si>
    <t>Reel Pancing Metal HE500 - HE7000 Max Drag 10 Kg</t>
  </si>
  <si>
    <t>Reel Pancing Fishing Reel 5.5:1 Gear Ratio Yumoshi 3000 Series - Silver Blue</t>
  </si>
  <si>
    <t>https://down-id.img.susercontent.com/file/831de21700928ddef0254358742b5411@resize_w640_nl</t>
  </si>
  <si>
    <t>Reel Pancing Aluminium Gear Ratio 5.5:1 Tarikan Kuat Alat Penggulung Rol Gulungan Senar Mancing</t>
  </si>
  <si>
    <t>https://down-id.img.susercontent.com/file/id-11134201-7qul0-lk7y3jms1xdv78@resize_w640_nl</t>
  </si>
  <si>
    <t>LEO Gulungan Reel Pancing Fly Fishing Full Metal 120M - Golden</t>
  </si>
  <si>
    <t>https://down-id.img.susercontent.com/file/id-11134207-7r98q-lwo22eu5lfze81@resize_w640_nl</t>
  </si>
  <si>
    <t>Reel Pancing Katrol Senar 5.5:1 Gear Ratio - SA5000/3000/2000/1000 Ril Penggulung Benang</t>
  </si>
  <si>
    <t>https://down-id.img.susercontent.com/file/id-11134207-7r98r-lynijr7tkuug4e@resize_w640_nl</t>
  </si>
  <si>
    <t>Mini/Tiny Spinning Reel Full Metal Spinning Reel Fishing Tackle RIL REL RELL KEREKAN RILL RIIL REAL GULUNGAN RIEL REIL RAIL RAEL CASTING MINI PANCING</t>
  </si>
  <si>
    <t>https://down-id.img.susercontent.com/file/27b16265e9f717a6b650f225924ef5e6@resize_w640_nl</t>
  </si>
  <si>
    <t>Fishing Reel Pancing Murah Mini Kuat Gulungan Pancing Laut Full Metal Spinning dan Air Tawar</t>
  </si>
  <si>
    <t>https://down-id.img.susercontent.com/file/8d5b31af415377b8b93227e09808bcda@resize_w640_nl</t>
  </si>
  <si>
    <t>Reel Mini Daido Shikari Fino New Simura Spin Ds250 Fishing Rel Ril Riil pancing Alat Katrol Kerekan Pancing Murah</t>
  </si>
  <si>
    <t>https://down-id.img.susercontent.com/file/id-11134207-7ra0h-mbrwklgc2pf7f9@resize_w640_nl</t>
  </si>
  <si>
    <t>Reel Pnacing Ril Pancing NX4000 Murah Rell Pancing Murah Reel Panicng NX4000 Gold Sharking Metal Reel Fishing Reel 5.2:1</t>
  </si>
  <si>
    <t>https://down-id.img.susercontent.com/file/id-11134207-7rasl-m23hpaipxj9b9b@resize_w640_nl</t>
  </si>
  <si>
    <t>NEW SC35 Fishing Reel 6+1BB Closed Metal Coil Wheel Procig</t>
  </si>
  <si>
    <t>https://down-id.img.susercontent.com/file/1dd5e33346662ff680950c288181c55a@resize_w640_nl</t>
  </si>
  <si>
    <t>PULLINE AC100 Series Mini Reel Pancing Spinning Fishing Reel 3.0:1 Gear Ratio 50M Golden [COD] BAYAR DITEMPAT ORIGINAL BARU [GOSEND][GRAB][GROSIR][MURAH]</t>
  </si>
  <si>
    <t>Reel Versus Carbotech SW Final Edition 9 Ball Bearing – Reel Saltwater Full Carbon Edisi Terakhir</t>
  </si>
  <si>
    <t>https://down-id.img.susercontent.com/file/id-11134207-7ras8-m5b5zra877ra9d@resize_w640_nl</t>
  </si>
  <si>
    <t>Reel Spinning Maguro Hover 1000~6000 Power handle Sw</t>
  </si>
  <si>
    <t>https://down-id.img.susercontent.com/file/3c44a56d8298b5607a16a18a92d88c07@resize_w640_nl</t>
  </si>
  <si>
    <t>Fishing Reel Maguro Ruger / Beretta 800 / 1000</t>
  </si>
  <si>
    <t>https://down-id.img.susercontent.com/file/id-11134207-7rbke-ma2vkoo9py5s36@resize_w640_nl</t>
  </si>
  <si>
    <t>REEL DAIDO CARBONIZED 1000,2000,3000,4000 POWER HANDLE</t>
  </si>
  <si>
    <t>https://down-id.img.susercontent.com/file/sg-11134201-22110-22k9xrmkgyjv34@resize_w640_nl</t>
  </si>
  <si>
    <t>Reel GOSTRIKE Racer HG Power Handle | 2000 3000 4000</t>
  </si>
  <si>
    <t>https://down-id.img.susercontent.com/file/id-11134207-7r98o-lkytlqjwuoan56@resize_w640_nl</t>
  </si>
  <si>
    <t>Reel BC Baitcasting Orca Moscato 200L Drag 8 kg 7+1 Ball Bearings COD</t>
  </si>
  <si>
    <t>https://down-id.img.susercontent.com/file/c63099ace8fbc2e25f9f6a8ceaba8302@resize_w640_nl</t>
  </si>
  <si>
    <t>Fishing Reel UL Drag Power Handle 100/200/300 Anyfish Nano Lite</t>
  </si>
  <si>
    <t>https://down-id.img.susercontent.com/file/id-11134207-7rbk6-m7x44dlzf3vi55@resize_w640_nl</t>
  </si>
  <si>
    <t>Reel power handle Fugu Wattan SEALED 1000 2000 3000</t>
  </si>
  <si>
    <t>https://down-id.img.susercontent.com/file/acc9ef32719b2f277a652265ae668925@resize_w640_nl</t>
  </si>
  <si>
    <t>REEL LAUT MAGURO AVENGERS / THANOS / SPAWN / CIVIL 4000 5000 7000 ULTRA SMOOTH</t>
  </si>
  <si>
    <t>https://down-id.img.susercontent.com/file/id-11134207-7qul4-lk3atal2iuvj1c@resize_w640_nl</t>
  </si>
  <si>
    <t>YUMOSHI REELSKING EF1000 Reel Pancing Spinning 12 Ball Bearing / Reel Rel Rill Ril Pancing Mini Laut Casting Spinning Power Handle DaidoBesar Murah Berkualitas Kuat Import 30 Kg / Katrol Pancing / Gulungan Pancing / Kerekan Pancing Original Asli Original</t>
  </si>
  <si>
    <t>https://down-id.img.susercontent.com/file/081bd540e8a597645f854fcda33c0610@resize_w640_nl</t>
  </si>
  <si>
    <t>Reel Anyfish Veritax 1000 (Power Handle)</t>
  </si>
  <si>
    <t>https://down-id.img.susercontent.com/file/7a6771bc6c3ec2d8df90765560a5b90f@resize_w640_nl</t>
  </si>
  <si>
    <t>COD REEL SPINNING 17+1 BB FBE 2000-7000 MAX DRAG 8-10kg METAL SPOOL ONE WAY SYSTEM</t>
  </si>
  <si>
    <t>https://down-id.img.susercontent.com/file/d67d4513fa45743fedd84819908f9b4c@resize_w640_nl</t>
  </si>
  <si>
    <t>Reel Getsu Rankers 1000 / 3000 / 6000 (Power Handle)(Metal Body)</t>
  </si>
  <si>
    <t>https://down-id.img.susercontent.com/file/id-11134207-7quky-lg5eqwofdm6r5f@resize_w640_nl</t>
  </si>
  <si>
    <t>Reel Power Handle MURAH FUGU DEWANI II 1000 2000 3000</t>
  </si>
  <si>
    <t>https://down-id.img.susercontent.com/file/72c9085c0146a6379ece7f59b225c89f@resize_w640_nl</t>
  </si>
  <si>
    <t>Reel Katrol Pancing Iroly Santuy Fishing Rel Ril Rell Riil Rill Alat Pancing Power Handle 3000 Murah</t>
  </si>
  <si>
    <t>https://down-id.img.susercontent.com/file/de720b9344db0c713349e4816255f02c@resize_w640_nl</t>
  </si>
  <si>
    <t>COD REEL YUMOSHI REELSKING EF8000 dan EF9000 SPOOL METAL 12BB</t>
  </si>
  <si>
    <t>https://down-id.img.susercontent.com/file/52f053466b301f029620fa798661e176@resize_w640_nl</t>
  </si>
  <si>
    <t>Reel Pancing maguro Avengers Murah Reel Fishing Best Seller Berkualitas</t>
  </si>
  <si>
    <t>https://down-id.img.susercontent.com/file/7369e738828923ce5e970bae0969dd05@resize_w640_nl</t>
  </si>
  <si>
    <t>Reel Fly Fish BANDHIT 1000 3000</t>
  </si>
  <si>
    <t>https://down-id.img.susercontent.com/file/sg-11134201-22110-ux01dt7x8pjvf2@resize_w640_nl</t>
  </si>
  <si>
    <t>Reel Pancing Gulungan Pancing Speed 3+1BB 5.2:1 GR With Spare Coil Sea Fishing Reel Saltwater Freshwater Spinning Reel Max Drag 15kg Fishing Wheel</t>
  </si>
  <si>
    <t>https://down-id.img.susercontent.com/file/id-11134207-81ztj-mqbeskjyv6dnca@resize_w640_nl</t>
  </si>
  <si>
    <t>Reel GETSU Kakap Merah Power Handle | 1000 2000 3000</t>
  </si>
  <si>
    <t>https://down-id.img.susercontent.com/file/id-11134207-7qul4-lk5asyrcmjb760@resize_w640_nl</t>
  </si>
  <si>
    <t>TaffSPORT Reel Pancing Mini Spinning Fishing Reel 4.3:1 Gear Ratio - MN100</t>
  </si>
  <si>
    <t>https://down-id.img.susercontent.com/file/9aae93e8251b7b2c646928f38d41bd9e@resize_w640_nl</t>
  </si>
  <si>
    <t>Reel Pancing Gold Sharking Series NX Metal Fishing Reel 5.2:1 Gear Ratio - Black</t>
  </si>
  <si>
    <t>https://down-id.img.susercontent.com/file/d3a9aa9f914e2a2ef963587cb5dd552e@resize_w640_nl</t>
  </si>
  <si>
    <t>Reel Spinning NEXT NAVIGATOR – 7 Ball Bearing, One Way Clutch, High Speed, Max Drag 8 kg</t>
  </si>
  <si>
    <t>https://down-id.img.susercontent.com/file/id-11134207-7r98x-lzdehu1yf99pc3@resize_w640_nl</t>
  </si>
  <si>
    <t>Reel Pancing Orca FRASER 125 ONE WAY Kuat aluminium spool</t>
  </si>
  <si>
    <t>https://down-id.img.susercontent.com/file/3404ab1dc4abc052a68218792907c2eb@resize_w640_nl</t>
  </si>
  <si>
    <t>Reel Next Arena - II 4000 Hijau</t>
  </si>
  <si>
    <t>https://down-id.img.susercontent.com/file/id-11134207-7r990-lm7drdnkig0x20@resize_w640_nl</t>
  </si>
  <si>
    <t>Reel fugu etsuko 800 1000 2000 3000 4000 6000</t>
  </si>
  <si>
    <t>https://down-id.img.susercontent.com/file/837e8353638a656ce61fe5065945c786@resize_w640_nl</t>
  </si>
  <si>
    <t>YUMOSI reel ril pancing rill pancing JF3000 JF5000 14 BB gulungan pancing murah katrol pancing kerekan pancing / kumparan pancing alat gulung pancing</t>
  </si>
  <si>
    <t>https://down-id.img.susercontent.com/file/556bdec421b2d316e6a0abe89fba1aee@resize_w640_nl</t>
  </si>
  <si>
    <t>Reel Pancing Spinning Fishing Reel Kumparan Pancing 5.21 - Mini 500 - Black Rell Power Handle Rel Ril Pancing Murah Berkualitas</t>
  </si>
  <si>
    <t>4.8 Penilaian Toko</t>
  </si>
  <si>
    <t>https://down-id.img.susercontent.com/file/sg-11134201-23020-nqo63yd1n7mv61@resize_w640_nl</t>
  </si>
  <si>
    <t>MAGNUM Jupiter Fishing Reel Spinning Alat Gulung Pancing Empang Kolam</t>
  </si>
  <si>
    <t>https://down-id.img.susercontent.com/file/id-11134207-7qul3-lhwtikfwbyn20b@resize_w640_nl</t>
  </si>
  <si>
    <t>Fishing Reel Kyoto RIVERFLEX A Ultra Light Slim Body Gulungan Pancing</t>
  </si>
  <si>
    <t>https://down-id.img.susercontent.com/file/id-11134207-7r98w-llepewi2gga1ab@resize_w640_nl</t>
  </si>
  <si>
    <t>FuYang Reel Pancing Mini Spinning Fishing Reel 4.3:1 Gear Ratio - MN100 - ISNEW</t>
  </si>
  <si>
    <t>https://down-id.img.susercontent.com/file/id-11134201-7qul5-lhlwod00pjyz25@resize_w640_nl</t>
  </si>
  <si>
    <t>Reel Pancing Shikari Acura 1000/2000/3000/ Spinning Fishing Reel</t>
  </si>
  <si>
    <t>https://down-id.img.susercontent.com/file/069c078fe37765ad7de7e49dccf717df@resize_w640_nl</t>
  </si>
  <si>
    <t>YUMOSHI LS5000/LS4000 Reel Pancing Fishing Reel 14 Ball Bearing 5.2:1 - Black - 3ITH0LBK</t>
  </si>
  <si>
    <t>https://down-id.img.susercontent.com/file/sg-11134201-7rdvx-m0ajar0ybupaa6@resize_w640_nl</t>
  </si>
  <si>
    <t>Reel Pancing YUMOSHI SA1000/2000/3000/4000/5000 Series Reel Pancing Spinning Fishing Reel 5.5:1 - Silver Blue</t>
  </si>
  <si>
    <t>https://down-id.img.susercontent.com/file/sg-11134201-7rdyw-m0ak6hrs3k6f70@resize_w640_nl</t>
  </si>
  <si>
    <t>HaiChao Reel Pancing Spinning Fishing Reel Kumparan Pancing 5.2:1 - Mini 500 - OLRG</t>
  </si>
  <si>
    <t>https://down-id.img.susercontent.com/file/sg-11134201-23010-64ns3blip8lvfb@resize_w640_nl</t>
  </si>
  <si>
    <t>Leo Reel pancing mini katrol tokos kerekan kecil mancing flyfishing rel rol rel tokoz</t>
  </si>
  <si>
    <t>https://down-id.img.susercontent.com/file/id-11134207-7r98t-lsw7javadb9085@resize_w640_nl</t>
  </si>
  <si>
    <t>Reel Ply Fish Nexius 1000 - 2000 | Power Handle Full Metal Body</t>
  </si>
  <si>
    <t>https://down-id.img.susercontent.com/file/id-11134207-7qukz-lkhqkzvxbj5iaa@resize_w640_nl</t>
  </si>
  <si>
    <t>Reel Spinning Cordial Axena Graphite 1000 2000 3000 4000 6000 8000</t>
  </si>
  <si>
    <t>https://down-id.img.susercontent.com/file/id-11134207-7r98o-lkqd0zetlxgsd8@resize_w640_nl</t>
  </si>
  <si>
    <t>MAGNUM Jupiter XT Fishing Reel Spinning Alat Gulungan Pancing Kolam</t>
  </si>
  <si>
    <t>https://down-id.img.susercontent.com/file/id-11134207-7qul2-lhwtikg65xzv07@resize_w640_nl</t>
  </si>
  <si>
    <t>UTC Savage Fishing Reel - Power Handle Fishing Reel</t>
  </si>
  <si>
    <t>https://down-id.img.susercontent.com/file/b3a036676c5ca172d61f658c509ed535@resize_w640_nl</t>
  </si>
  <si>
    <t>Reel Pancing Full Metal Full Besi Murah Kuat NON Power Handel Reel Pancing Ukuran 2000 Reel Pancing Spinning Fishing Reel AR2000 Reel Pancing Spinning Fishing Reel 5.2:1 Gear Ratio DEUKIO</t>
  </si>
  <si>
    <t>https://down-id.img.susercontent.com/file/9512e3a7e9de1a6ef29f0bb959a4c2ea@resize_w640_nl</t>
  </si>
  <si>
    <t>Reel FLY FISH BANDIT 1000 2000 3000 - Reel mewah - Reel murah</t>
  </si>
  <si>
    <t>https://down-id.img.susercontent.com/file/sg-11134201-7qvct-lin8a3otdmh96c@resize_w640_nl</t>
  </si>
  <si>
    <t>Yumoshi Gulungan Pancing EF6000 Metal Fishing Spinning Reel 12 Ball Bearing - Golden</t>
  </si>
  <si>
    <t>https://down-id.img.susercontent.com/file/0f67038331f738cb2087b6b27f071e49@resize_w640_nl</t>
  </si>
  <si>
    <t>MAGNUM Jupiter A Fishing Reel Spinning Alat Gulungan Pancing Kolam</t>
  </si>
  <si>
    <t>https://down-id.img.susercontent.com/file/id-11134207-7quky-lhwtikfwddce8c@resize_w640_nl</t>
  </si>
  <si>
    <t>Debao Gulungan Pancing Metal Fishing Spinning Reel 4.9:1 Ratio 10 BB - DB6000</t>
  </si>
  <si>
    <t>https://down-id.img.susercontent.com/file/id-11134207-7qul4-lhdgbumpn9lf84@resize_w640_nl</t>
  </si>
  <si>
    <t>Reelsking Amerika Reel SF 1000-7000 Spool Metal One Way 13+1BB</t>
  </si>
  <si>
    <t>4.9</t>
  </si>
  <si>
    <t>https://down-id.img.susercontent.com/file/sg-11134201-22120-t6g7q629odlv63@resize_w640_nl</t>
  </si>
  <si>
    <t>Reel Pancing Spinning Kaizen Misaki reel murah Indonesia Memancing</t>
  </si>
  <si>
    <t>https://down-id.img.susercontent.com/file/1d91406680e467cd28ac5158d6313fe5@resize_w640_nl</t>
  </si>
  <si>
    <t>Yumoshi EF Gulungan Reel Pancing spinning 12 Ball Bearing</t>
  </si>
  <si>
    <t>https://down-id.img.susercontent.com/file/65debd367ca141628be50370dc056d69@resize_w640_nl</t>
  </si>
  <si>
    <t>TaffSPORT Reel Pancing Mini Spinning Fishing Reel 4.3:1 Gear Ratio - MN100 - AHOO</t>
  </si>
  <si>
    <t>https://down-id.img.susercontent.com/file/id-11134207-7r98t-lxgxe3me204eca@resize_w640_nl</t>
  </si>
  <si>
    <t>reel pancing  nx2000 14 ball bearing taffsport kerekan rell rill katrol</t>
  </si>
  <si>
    <t>https://down-id.img.susercontent.com/file/id-11134207-82252-mjz5ffsn8av9f1@resize_w640_nl</t>
  </si>
  <si>
    <t>Reel Pancing Baitcasting 18+1 Ball Bearing</t>
  </si>
  <si>
    <t>https://down-id.img.susercontent.com/file/id-11134207-81ztj-mqfzy5m7hts038@resize_w640_nl</t>
  </si>
  <si>
    <t>YUMOSHI REELSKING EF1000 Reel Pancing Spinning 12 Ball Bearing - Silver</t>
  </si>
  <si>
    <t>https://down-id.img.susercontent.com/file/id-11134207-7r98z-lv71sk3p8kst32@resize_w640_nl</t>
  </si>
  <si>
    <t>TaffSPORT 3000 Series Reel Pancing Fishing Reel 5.5:1 Gear Ratio - SA3000</t>
  </si>
  <si>
    <t>https://down-id.img.susercontent.com/file/sg-11134201-824ga-mprjgjjb10jy71@resize_w640_nl</t>
  </si>
  <si>
    <t>Sabpolo Surf Fighter 8000 Power Handle Full Metal Spool Murah Reel Pancing Pasiran</t>
  </si>
  <si>
    <t>https://down-id.img.susercontent.com/file/id-11134207-7r98o-llg30nqzi4ck20@resize_w640_nl</t>
  </si>
  <si>
    <t>DEBAO FISHING REEL DB SERIES 10BB  Kerekan pancing rell rill ril real reels pancing katrol pancing</t>
  </si>
  <si>
    <t>https://down-id.img.susercontent.com/file/ca186b752b1a146f97915cc297200e90@resize_w640_nl</t>
  </si>
  <si>
    <t>Reel Pancing Spinning Maguro Virus Power handle Indonesia Memancing</t>
  </si>
  <si>
    <t>https://down-id.img.susercontent.com/file/b9de2d783a74a285664eb870782f2fff@resize_w640_nl</t>
  </si>
  <si>
    <t>Reel Spinning Daiwa MG S LT 2021 kuat ukuran 1000XH 2000XH 2500XH 3000CXH 4000 CXH 5000CXH 6000H</t>
  </si>
  <si>
    <t>https://down-id.img.susercontent.com/file/66bc450401f7d60e42f444958fc049ca@resize_w640_nl</t>
  </si>
  <si>
    <t>Reel AJIKING ZIG MAX-ZLE LIMITED EDITION (POWER HANDLE)</t>
  </si>
  <si>
    <t>https://down-id.img.susercontent.com/file/3b1a88fa744519e56846849a801a2aa7@resize_w640_nl</t>
  </si>
  <si>
    <t>REEL PANCING OXGN DEMON SW 12+1 BB | POWER HANDLE SALTWATER SPINNING REELS | CARBON WASHER (NEW UPGRADE)</t>
  </si>
  <si>
    <t>https://down-id.img.susercontent.com/file/id-11134207-7ra0o-mbhxxccbvic03c@resize_w640_nl</t>
  </si>
  <si>
    <t>REEL PANCING BLOOD MAGNO PRO 4000 SW POWER HANDLE 12+1BB FISHING REEL SPINNING SALTWATER</t>
  </si>
  <si>
    <t>https://down-id.img.susercontent.com/file/id-11134207-7rbk3-m8tzogi3ubrx1f@resize_w640_nl</t>
  </si>
  <si>
    <t>Reel Pancing Spinning Maguro Extreme Compe</t>
  </si>
  <si>
    <t>https://down-id.img.susercontent.com/file/0a5dac415c0fbc6f7556d7103c217d8d@resize_w640_nl</t>
  </si>
  <si>
    <t>Reel Spinning Maguro Zander pilih ukuran Indonesia Memancing</t>
  </si>
  <si>
    <t>https://down-id.img.susercontent.com/file/id-11134207-7r98z-lq47cpmy5l2m39@resize_w640_nl</t>
  </si>
  <si>
    <t>Reel Spinning Maguro Hover pilih ukuran Indonesia Memancing</t>
  </si>
  <si>
    <t>https://down-id.img.susercontent.com/file/2dde3c5554e186eebed64cf0998c8f1d@resize_w640_nl</t>
  </si>
  <si>
    <t>reel ajiking blackbull lite power handle 1000-6000 salt water game</t>
  </si>
  <si>
    <t>https://down-id.img.susercontent.com/file/id-11134207-23020-rx3g09w7fknv67@resize_w640_nl</t>
  </si>
  <si>
    <t>Reel Spinning Daiwa RX BI ukuran 2000 | 2500 | 3000 | 4000</t>
  </si>
  <si>
    <t>https://down-id.img.susercontent.com/file/12ef0f3913ac57f56ef08da5dba4ed11@resize_w640_nl</t>
  </si>
  <si>
    <t>Reel Spinning Maguro Thanos XT power handle Indonesia Memancing</t>
  </si>
  <si>
    <t>https://down-id.img.susercontent.com/file/3fd6e6d07801aeb6d090fdbc17474140@resize_w640_nl</t>
  </si>
  <si>
    <t>Reel Versus Gladiator S Power Handle and CNC Aluminium Handle 6 BB</t>
  </si>
  <si>
    <t>https://down-id.img.susercontent.com/file/id-11134207-7r98t-m01arl077s9n54@resize_w640_nl</t>
  </si>
  <si>
    <t>PROMO 1 SET PANCING LIPAT SIMPLE DAN KEKINIAN SIAP PAKAI JORAN DAN REAL RIEL REIL RAIL RAEL REEL RIL REL RELL RILL RIIL KEREKAN GULUNGAN PANCING PORTABLE SATU SET PANCINGAN</t>
  </si>
  <si>
    <t>https://down-id.img.susercontent.com/file/ffe85802024153696e54edd96aacbb41@resize_w640_nl</t>
  </si>
  <si>
    <t>Reel maguro barra sw 500 800</t>
  </si>
  <si>
    <t>https://down-id.img.susercontent.com/file/id-11134207-7ra0l-mbbzz9d4b0yhe4@resize_w640_nl</t>
  </si>
  <si>
    <t>Reel BC Seahawk Bass Hunter 103HSL</t>
  </si>
  <si>
    <t>https://down-id.img.susercontent.com/file/id-11134207-7r992-lldhvh9mj35799@resize_w640_nl</t>
  </si>
  <si>
    <t>https://down-id.img.susercontent.com/file/a4a52bcbe7295d274f818736986e1925@resize_w640_nl</t>
  </si>
  <si>
    <t>Reel Fugu Rei 1000 - 2000 - 3000 Power Handle</t>
  </si>
  <si>
    <t>https://down-id.img.susercontent.com/file/12311cb7f8c187e5de829ce9aca4896d@resize_w640_nl</t>
  </si>
  <si>
    <t>Reel IROLY SEPHIA / carbon SW / plus + power handle</t>
  </si>
  <si>
    <t>https://down-id.img.susercontent.com/file/sg-11134201-22110-jgwdt3nxwpjv85@resize_w640_nl</t>
  </si>
  <si>
    <t>Reel IROLY SEPHIA / plus + / carbon / HG SW 500, 800, 1000, 2000, 3000, 4000 ,6000</t>
  </si>
  <si>
    <t>https://down-id.img.susercontent.com/file/id-11134207-7r98x-lspbe4jart8t58@resize_w640_nl</t>
  </si>
  <si>
    <t>Reel Pancing Iroly Ebisu SW 1000 - 6000 (8+1 Seal Bearing) Power Handle Murah - Engkus Fishing</t>
  </si>
  <si>
    <t>https://down-id.img.susercontent.com/file/id-11134207-7r98z-lm92o6orvagbd2@resize_w640_nl</t>
  </si>
  <si>
    <t>Reel Pancing Maguro Avengers Avenger 7000</t>
  </si>
  <si>
    <t>https://down-id.img.susercontent.com/file/id-11134207-82252-mgft4gzl651n36@resize_w640_nl</t>
  </si>
  <si>
    <t>Fishing Reel Power Handle Maguro Zander 4000 / Avenger XT /Civil XT /Cyclops XT / Carrera / Virus</t>
  </si>
  <si>
    <t>https://down-id.img.susercontent.com/file/id-11134207-7rbk9-ma2vwfh4yorxed@resize_w640_nl</t>
  </si>
  <si>
    <t>Fishing Reel Power Handle Mini Anyfish / Haizen Zelica 500/800</t>
  </si>
  <si>
    <t>https://down-id.img.susercontent.com/file/id-11134207-7rbk0-ma2rvk6xhh4dc6@resize_w640_nl</t>
  </si>
  <si>
    <t>Reel Pancing Daido Reel Bandel DFT 1000 - 6000 WF 8.0 (6+1 Bearing) Power Handle - Engkus Fishing</t>
  </si>
  <si>
    <t>https://down-id.img.susercontent.com/file/id-11134207-7ra0t-mbgzzwun52c4f6@resize_w640_nl</t>
  </si>
  <si>
    <t>Fishing reel power handle murah seal ball bearing Kenzi Destroy 5000</t>
  </si>
  <si>
    <t>https://down-id.img.susercontent.com/file/e82491bd023976336ea46185b746e95c@resize_w640_nl</t>
  </si>
  <si>
    <t>Reel UL power handle Exori Smart 1000 3000</t>
  </si>
  <si>
    <t>https://down-id.img.susercontent.com/file/48f0da2b88a25c2d9076733b186a8730@resize_w640_nl</t>
  </si>
  <si>
    <t>Reel pancing FLY FISH CONCEPT HP / metal body / power handle / rubber seal / 1000,2000,3000,6000</t>
  </si>
  <si>
    <t>https://down-id.img.susercontent.com/file/4bda9b80dcfee90f2308ad143b035b78@resize_w640_nl</t>
  </si>
  <si>
    <t>Reel Pancing Spinning Maguro Bream pilih ukuran Indonesia Memancing</t>
  </si>
  <si>
    <t>https://down-id.img.susercontent.com/file/db11b40f3b797d02a0ce7966bd20c1ef@resize_w640_nl</t>
  </si>
  <si>
    <t>grosir Reel Bc Camry Sougayilang camry drag 10 kg handle kiri Reel baitcasting</t>
  </si>
  <si>
    <t>https://down-id.img.susercontent.com/file/d1c380b75476cd382a797f65d66cdab8@resize_w640_nl</t>
  </si>
  <si>
    <t>Reel gulungan pancing Size EF 1000 EF 3000 EF 5000 EF6000 EF9000 bahan full metal 12 Ball bearing</t>
  </si>
  <si>
    <t>https://down-id.img.susercontent.com/file/cbd752e761fbeb048a82d96bd4f581e1@resize_w640_nl</t>
  </si>
  <si>
    <t>RW Reel Pancing Mini Spinning Fishing Reel 4.3:1 Gear Ratio alat gulung mancing kecil alat pancing</t>
  </si>
  <si>
    <t>https://down-id.img.susercontent.com/file/id-11134207-7ra0s-mcd5n6ac1cjp1b@resize_w640_nl</t>
  </si>
  <si>
    <t>Reel Spinning CLASSIC HE500-Ultralight HE800 HE3000 / Reel Pancing Spinning Fishing Reel</t>
  </si>
  <si>
    <t>https://down-id.img.susercontent.com/file/sg-11134201-22100-o8j2hbfvyuiv48@resize_w640_nl</t>
  </si>
  <si>
    <t>Mall YUMOSHI REELSKING EF1000, 3000, 5000, 6000, 9000 Reel Pancing Spinning 12 Ball Bearing</t>
  </si>
  <si>
    <t>https://down-id.img.susercontent.com/file/57d0b6dd8d7de0a9ad76f2d96430e029@resize_w640_nl</t>
  </si>
  <si>
    <t>Reel Pancing YUMOSHI REELSKING EF1000/EF3000/5000/EF6000/EF9000 Spinning 12 Ball Bearing - 3ITH01SV</t>
  </si>
  <si>
    <t>https://down-id.img.susercontent.com/file/bb171caf3912b323076df70f06fb6266@resize_w640_nl</t>
  </si>
  <si>
    <t>YUMOSHI REELSKING EF1000 Reel Pancing Spinning 12 Ball Bearing</t>
  </si>
  <si>
    <t>https://down-id.img.susercontent.com/file/ec8d2140dc4520b06963cde696dd2e1d@resize_w640_nl</t>
  </si>
  <si>
    <t>Pulline mini reel pancing baitcasting fishing 3.01 ac100 golden</t>
  </si>
  <si>
    <t>4.9 Penilaian Toko</t>
  </si>
  <si>
    <t>https://down-id.img.susercontent.com/file/id-11134201-7qukz-lgq5ilwbxeosa4@resize_w640_nl</t>
  </si>
  <si>
    <t>Ready Termurah Reel Harrow Chromium 3000 4000 5000 6000</t>
  </si>
  <si>
    <t>5.0</t>
  </si>
  <si>
    <t>https://down-id.img.susercontent.com/file/id-11134207-7qul9-likfo1403ck7a4@resize_w640_nl</t>
  </si>
  <si>
    <t>Reel gulungan pancing Size EF 1000 3000 5000 6000 9000 bahan full metal 12 Ball bearing</t>
  </si>
  <si>
    <t>https://down-id.img.susercontent.com/file/ad38add6cf63b6aacfb5e25f0919facf@resize_w640_nl</t>
  </si>
  <si>
    <t>Reel Gestu Urauraa 12+1BB Power Handle 1000 2000</t>
  </si>
  <si>
    <t>https://down-id.img.susercontent.com/file/sg-11134201-22110-zibxqaro5akv02@resize_w640_nl</t>
  </si>
  <si>
    <t>reel pancing cx 6000 chihiro/fishing reel/gulungan pancing</t>
  </si>
  <si>
    <t>https://down-id.img.susercontent.com/file/74f3a7d851c90102c7e3de3c74873724@resize_w640_nl</t>
  </si>
  <si>
    <t>REEL PANCING FISHING REEL SHINN SN 13 BB</t>
  </si>
  <si>
    <t>https://down-id.img.susercontent.com/file/sg-11134201-22110-qz0bluctmojv79@resize_w640_nl</t>
  </si>
  <si>
    <t>REEL TaffSPORT Metal Reel Pancing Spinning Fishing Reel 5.2:1 - NX2000 - Black</t>
  </si>
  <si>
    <t>https://down-id.img.susercontent.com/file/id-11134207-7r98s-lz7gobxpg3by47@resize_w640_nl</t>
  </si>
  <si>
    <t>REEL MURAH  UTECATE ZODIAC 1000 2000 3000 4000 8 BALL BEARING</t>
  </si>
  <si>
    <t>https://down-id.img.susercontent.com/file/0d3f241277f81865ad0e05e2ac84298c@resize_w640_nl</t>
  </si>
  <si>
    <t>r3w HaiChao Reel Pancing Spinning Fishing Reel Kumparan Pancing 5.2:1 - Mini 500 - Black</t>
  </si>
  <si>
    <t>G1 Reel Rell Rill Pancing Spinning Fishing Reel 5.2:1 Murah Kuat Mini 500 Mancing HaiChao</t>
  </si>
  <si>
    <t>https://down-id.img.susercontent.com/file/9495a8b219880e0587e76cb37e2d5c3d@resize_w640_nl</t>
  </si>
  <si>
    <t>REEL SPINNING UTECATE ZODIAC Kerekan Pancing Handle Lipat Murah Full Besi</t>
  </si>
  <si>
    <t>https://down-id.img.susercontent.com/file/id-11134207-7r98u-lnuvss5u5vp612@resize_w640_nl</t>
  </si>
  <si>
    <t>Rell Pancing Metal Abs Berkualitas Yumoshi 5000, Reel Pancing Berkualitas, Rell Casting Pemancing</t>
  </si>
  <si>
    <t>https://down-id.img.susercontent.com/file/id-11134207-7rbkc-m9093dn4wknm5d@resize_w640_nl</t>
  </si>
  <si>
    <t>Reel Pancing Debao Fishman LURE 3000 Spinning Metal Drag 5.2:1 Gear Ratio 12+1 Ball Bearing</t>
  </si>
  <si>
    <t>https://down-id.img.susercontent.com/file/id-11134207-7r98z-lpb8q77pupb54b@resize_w640_nl</t>
  </si>
  <si>
    <t>reel pancing metal spinning max drag 12kg bearing 14 2000 4000 6000</t>
  </si>
  <si>
    <t>https://down-id.img.susercontent.com/file/sg-11134201-22120-4f29ev8bzpkv86@resize_w640_nl</t>
  </si>
  <si>
    <t>reel pancing cx 4000 chihiro/fishing reel /gulungan pancing</t>
  </si>
  <si>
    <t>https://down-id.img.susercontent.com/file/65a16aa7b6ce04a28848bcfa1e535c4a@resize_w640_nl</t>
  </si>
  <si>
    <t>Reel BC murah bagus dalam kuningan</t>
  </si>
  <si>
    <t>https://down-id.img.susercontent.com/file/6144478981932852f8bd3bc222fc85f6@resize_w640_nl</t>
  </si>
  <si>
    <t>https://down-id.img.susercontent.com/file/a634f599b2877c44693abbe70069f2f1@resize_w640_nl</t>
  </si>
  <si>
    <t>[COD] Reel Pancing Spinning Fishing Reel Kumparan Pancing 5.2:1 - Mini 500</t>
  </si>
  <si>
    <t>https://down-id.img.susercontent.com/file/sg-11134201-23030-n1dwwnw6rpov45@resize_w640_nl</t>
  </si>
  <si>
    <t>Taffsport Gold Sharking Nx2000 Nx4000 Nx6000 Series Metal Reel Pancing Fishing Reel 5.2:1 Gear Ratioblack</t>
  </si>
  <si>
    <t>https://down-id.img.susercontent.com/file/2480fb91cf913acb218769c95eaf9139@resize_w640_nl</t>
  </si>
  <si>
    <t>BISA COD TaffSPORT BK Series BK2000 BK4000 Rel Ril Rill Real Reel Pancing Murah Kuat Metal Spinning 5.2:1 Ball Bearing 13</t>
  </si>
  <si>
    <t>https://down-id.img.susercontent.com/file/e63d187b69fb3d4e2c70076e50246535@resize_w640_nl</t>
  </si>
  <si>
    <t>Metal Reel Pancing Fishing Reel 5.2:1 Gear Ratio</t>
  </si>
  <si>
    <t>https://down-id.img.susercontent.com/file/70d08a2a4cef6242cb7c8417b3c7fabb@resize_w640_nl</t>
  </si>
  <si>
    <t>Yumoshi EF3000 Reel pancing Metal Fishing Spinning Reel 12 Ball Bearing - Golden 3ITH08GD</t>
  </si>
  <si>
    <t>https://down-id.img.susercontent.com/file/6e66c918de6690762d97bd29bc62064e@resize_w640_nl</t>
  </si>
  <si>
    <t>Reel Pancing Spinning Fishing Reel Gear Ratio 4.8:1 - Black</t>
  </si>
  <si>
    <t>https://down-id.img.susercontent.com/file/sg-11134201-7rbm4-lmjvnv118hz954@resize_w640_nl</t>
  </si>
  <si>
    <t>Reel Pancing Spinning Fishing Reel 5.5:1 Gear Ratio SA5000</t>
  </si>
  <si>
    <t>https://down-id.img.susercontent.com/file/id-11134207-822wu-mm5xmdfm1seg71@resize_w640_nl</t>
  </si>
  <si>
    <t>REEL PANCING HP500 - HP7000 10KG DRAG GEAR/RATIO 5.2:1</t>
  </si>
  <si>
    <t>https://down-id.img.susercontent.com/file/id-11134207-7r98s-lr77qxfkd01la5@resize_w640_nl</t>
  </si>
  <si>
    <t>Gold Sharking LK2000 5000 7000 Reel Pancing Spinning Fishing 5.2:1 Ball Bearing 13 - Black/Red</t>
  </si>
  <si>
    <t>https://down-id.img.susercontent.com/file/d651d2f763e5d5a400d55cbc13991d7e@resize_w640_nl</t>
  </si>
  <si>
    <t>Yumoshi 3000 Series Reel Pancing Fishing Reel 5.5:1 Gear Ratio SA3000 Silver Blue Grab Medan</t>
  </si>
  <si>
    <t>https://down-id.img.susercontent.com/file/0dc8750fbbd5cfc2d0174606dc498ab5@resize_w640_nl</t>
  </si>
  <si>
    <t>Gold Sharking BK2000 Reel Pancing Spinning 5.2:1 Ball Bearing 13</t>
  </si>
  <si>
    <t>https://down-id.img.susercontent.com/file/1958c46f7943154f3c2c5d3c77b81c0a@resize_w640_nl</t>
  </si>
  <si>
    <t>Spinning Fishing Reels TAIGEK 3000 Series 5.2:1 Gear Ratio Spinning Reel Dapat Dilipat Merah/Hijau/Gold/Biru/Biru-Emerald</t>
  </si>
  <si>
    <t>https://down-id.img.susercontent.com/file/bbbac49686c609066e529fe6b881730b@resize_w640_nl</t>
  </si>
  <si>
    <t>TaffSport Yumoshi SA series Reel spinning pancing 12 Ball Bearing</t>
  </si>
  <si>
    <t>https://down-id.img.susercontent.com/file/sg-11134201-22110-ehmvnsgpcvjva2@resize_w640_nl</t>
  </si>
  <si>
    <t>Reel Pancing Spinning Gulungan Pancing Spool 12 Ball Bearing</t>
  </si>
  <si>
    <t>https://down-id.img.susercontent.com/file/f1d50b43cf6b9804e87bc12fe918c9b0@resize_w640_nl</t>
  </si>
  <si>
    <t>YUMOSHI LS5000 Reel Pancing Fishing Reel 14 Ball Bearing 5.2:1 - Black - 3ITH0QBK</t>
  </si>
  <si>
    <t>https://down-id.img.susercontent.com/file/9a8b1fca1a989876100eff89e2a2a814@resize_w640_nl</t>
  </si>
  <si>
    <t>Reel Pancing YUMOSHI BY3000 Gulungan Pancing Spinning 12+1 Ball Bearing 5.2:1</t>
  </si>
  <si>
    <t>https://down-id.img.susercontent.com/file/id-11134201-23020-v2bgt7y0eynv49@resize_w640_nl</t>
  </si>
  <si>
    <t>Reel Pancing Besi Aluminium Katrol Penggulung Benang Senar BB 12  5.5:1Series SA1000/2000/3000/5000</t>
  </si>
  <si>
    <t>https://down-id.img.susercontent.com/file/id-11134207-7rask-m0i1igzk3iksb3@resize_w640_nl</t>
  </si>
  <si>
    <t>reel pancing metal spinning max drag 10kg bearing 13 1000 2000 3000 5000</t>
  </si>
  <si>
    <t>https://down-id.img.susercontent.com/file/sg-11134201-22120-qg5479ctqqkv45@resize_w640_nl</t>
  </si>
  <si>
    <t>TaffSPORT 3000 Series Reel Pancing Spinning Fishing 5.5:1 - SA3000</t>
  </si>
  <si>
    <t>https://down-id.img.susercontent.com/file/sg-11134201-820lf-mnbpqc1bsd1e12@resize_w640_nl</t>
  </si>
  <si>
    <t>Ready Stok Reel Trolling bahan metal sangat kuat handle kanan Drum reel</t>
  </si>
  <si>
    <t>https://down-id.img.susercontent.com/file/4966c10b4323b00ec87f0ec3ef90b61d@resize_w640_nl</t>
  </si>
  <si>
    <t>Debao CS3000 Fishing Spinning Reel 8 Ball Bearing / Reel Pancing</t>
  </si>
  <si>
    <t>https://down-id.img.susercontent.com/file/1eea5d4cac96f3b3d017c673f02db24d@resize_w640_nl</t>
  </si>
  <si>
    <t>Mini Reel Pancing Fishing Reel 3.0:1 Gear Ratio 50M - Red</t>
  </si>
  <si>
    <t>https://down-id.img.susercontent.com/file/d31b507042309beb9bde72a566b8fe1d@resize_w640_nl</t>
  </si>
  <si>
    <t>G1 Reel Mini Casting PULLINE AC100 Series Fishing Reel Baitcasting Fishing 3.0:1 Golden</t>
  </si>
  <si>
    <t>Mini Reel Pancing Baitcasting Fishing 3.0:1 - AC100 - Golden</t>
  </si>
  <si>
    <t>https://down-id.img.susercontent.com/file/id-11134201-7qul8-li19vo5dis8vc4@resize_w640_nl</t>
  </si>
  <si>
    <t>YUMOSHI SA4000 Series Reel Pancing Fishing Reel 5.5:1 Gear Ratio - Silver Blue</t>
  </si>
  <si>
    <t>https://down-id.img.susercontent.com/file/beb8d36d98ec255d2f2c3ccb539494d4@resize_w640_nl</t>
  </si>
  <si>
    <t>Reel Pancing Spinning 3+1 Ball Bearing 5.2:1</t>
  </si>
  <si>
    <t>https://down-id.img.susercontent.com/file/id-11134207-822wo-mm5x3zu8cdmrcc@resize_w640_nl</t>
  </si>
  <si>
    <t>reel toxos fly reel fx50A</t>
  </si>
  <si>
    <t>https://down-id.img.susercontent.com/file/sg-11134201-22100-umabk85mjxiv89@resize_w640_nl</t>
  </si>
  <si>
    <t>PULLINE AC100 Series Mini Reel Pancing Baitcasting Fishing Reel 3.0:1 Gear Ratio 50 M - Emas</t>
  </si>
  <si>
    <t>Gulungan Pancing Spinning Reel Pancing Spinning Mini Carp Winter Ice Fly Fishing Rasio Gear 1.1</t>
  </si>
  <si>
    <t>https://down-id.img.susercontent.com/file/sg-11134201-22100-syjms92c96iv18@resize_w640_nl</t>
  </si>
  <si>
    <t>Reel Pancing Baitcasting Murah Casting YUMOSHI Reel Baitcasting 18+1 Ball Bearing 7.2:1 - AK201</t>
  </si>
  <si>
    <t>https://down-id.img.susercontent.com/file/id-11134207-7rasm-m2duvm1k2c7ied@resize_w640_nl</t>
  </si>
  <si>
    <t>REEL KAMIKAZE POWER SHOOT</t>
  </si>
  <si>
    <t>https://down-id.img.susercontent.com/file/sg-11134201-7reno-m27gbzzf4iwwb6@resize_w640_nl</t>
  </si>
  <si>
    <t>Gulungan Reel Pancing Carp Winter Ice Fly Fishing - EPC-104</t>
  </si>
  <si>
    <t>https://down-id.img.susercontent.com/file/sg-11134201-820of-mnjfdosy6xadec@resize_w640_nl</t>
  </si>
  <si>
    <t>REEL PANCING BLOOD MAGNO PRO 3000 SW POWER HANDLE 12+1BB FISHING REEL SPINNING SALTWATER</t>
  </si>
  <si>
    <t>https://down-id.img.susercontent.com/file/id-11134207-7rbkb-m8tzogi3zy1p08@resize_w640_nl</t>
  </si>
  <si>
    <t>REEL PANCING BLOOD MAGNO PRO 2000 SW POWER HANDLE 12+1BB FISHING REEL SPINNING SALTWATER</t>
  </si>
  <si>
    <t>https://down-id.img.susercontent.com/file/id-11134207-7rbk2-m8tzogi3x4wt7a@resize_w640_nl</t>
  </si>
  <si>
    <t>REEL SPINNING DAIDO CARBONIZED 800 - 6000</t>
  </si>
  <si>
    <t>https://down-id.img.susercontent.com/file/sg-11134201-22100-2c9gue0dn2ivc8@resize_w640_nl</t>
  </si>
  <si>
    <t>Reel Mega Gear Maguro Guzzi Pancing Spinning power handle Indonesia Memancing</t>
  </si>
  <si>
    <t>https://down-id.img.susercontent.com/file/0af98c81a28158130bde928074b765a0@resize_w640_nl</t>
  </si>
  <si>
    <t>REEL SPINNING TOMMAN SILVER MAX 2000 &amp; 4000 POWER HANDLE / 7+1 BALL BEARING</t>
  </si>
  <si>
    <t>https://down-id.img.susercontent.com/file/2d7cca465dd8e661fe4e187aae4fdb41@resize_w640_nl</t>
  </si>
  <si>
    <t>Gulungan Pancing YUMOSHI RS3000 Reel Pancing Spinning 12 Ball Bearing 5.2:1</t>
  </si>
  <si>
    <t>https://down-id.img.susercontent.com/file/bc5dc98629df64eb5936b03215fa6f22@resize_w640_nl</t>
  </si>
  <si>
    <t>Yumoshi gulungan pancing jl200 fishing reel 31 ball bearing 5.21 black</t>
  </si>
  <si>
    <t>https://down-id.img.susercontent.com/file/sg-11134201-7qvf5-lf5jkbe2jsngfc@resize_w640_nl</t>
  </si>
  <si>
    <t>Sabpolo Concept Fishing Reel Spinning Metal Spool 9+1BB</t>
  </si>
  <si>
    <t>https://down-id.img.susercontent.com/file/id-11134207-7r98y-llfuoqd68to17a@resize_w640_nl</t>
  </si>
  <si>
    <t>REEL OXGN SPINNING BLACK MAMBA POWER HANDEL 12+1BB</t>
  </si>
  <si>
    <t>https://down-id.img.susercontent.com/file/sg-11134201-22120-6xpd3c6dfwkv47@resize_w640_nl</t>
  </si>
  <si>
    <t>Reel Pancing ONCAK Z1 CARBON 1000 / 2000 / 3000 Power Handle Ringan</t>
  </si>
  <si>
    <t>https://down-id.img.susercontent.com/file/id-11134207-7qul8-lfate4eyfb7565@resize_w640_nl</t>
  </si>
  <si>
    <t>REEL GULUNGAN PANCING POWER HANDLE HINOMIYA PENINSULA 1000 POWER HANDLE</t>
  </si>
  <si>
    <t>https://down-id.img.susercontent.com/file/f34a05b884d9da989dd7abe0685a6338@resize_w640_nl</t>
  </si>
  <si>
    <t>Reel BC Oncak Libero / Force type regular / shallow</t>
  </si>
  <si>
    <t>https://down-id.img.susercontent.com/file/id-11134207-822wo-mpx2rk0qt05rf6@resize_w640_nl</t>
  </si>
  <si>
    <t>Reel Spinning Fugu Nidji 2 II Graphite 1000 2000 3000 4000 6000</t>
  </si>
  <si>
    <t>https://down-id.img.susercontent.com/file/id-11134207-7qul7-lker7mxmnqjuee@resize_w640_nl</t>
  </si>
  <si>
    <t>Reel BC Baitcasting Orca Moscato 200L Gear Ratio 7.1:1 Maghnetic Original Murah Kuat Bagus Promo</t>
  </si>
  <si>
    <t>OBRAL RIL PANCINGAN REEL PANCING MINI RILS RIL REL RELL RILL RIIL REAL RIEL REIL RAIL RAEL KEREKAN GULUNGAN KATROL PANCING FISHING REEL KATANA HANZO DAIDO ATOM YUMOSHI JL200 NISTRO</t>
  </si>
  <si>
    <t>https://down-id.img.susercontent.com/file/c4c60961cc904602f8679cd6a05b1613@resize_w640_nl</t>
  </si>
  <si>
    <t>Reel Spinning GOLDENFISH GOLD KINGKONG GK20 GK30 GK40 / Reel Pancing Spinning Fishing Reel</t>
  </si>
  <si>
    <t>https://down-id.img.susercontent.com/file/dc594b62d3f7d3b55334ea3fb7d169bb@resize_w640_nl</t>
  </si>
  <si>
    <t>Reel Pioneer Primo Pri-5000i</t>
  </si>
  <si>
    <t>https://down-id.img.susercontent.com/file/sg-11134201-23010-s0ta8iugoxlv3f@resize_w640_nl</t>
  </si>
  <si>
    <t>Reel Spinning daido daimos II power handle Kuat Free Handle  daido daimos daimos II  9 BB kuat</t>
  </si>
  <si>
    <t>https://down-id.img.susercontent.com/file/814b1b73b32939462124f878ea68d15e@resize_w640_nl</t>
  </si>
  <si>
    <t>https://down-id.img.susercontent.com/file/id-11134207-82252-mgft4gzlacqz7c@resize_w640_nl</t>
  </si>
  <si>
    <t>Reel Pioneer Cyclone plus cyc 1000,2000,4000</t>
  </si>
  <si>
    <t>https://down-id.img.susercontent.com/file/id-11134207-7r98t-lm8hvgwrm64ub0@resize_w640_nl</t>
  </si>
  <si>
    <t>REEL DK FISHING REEL SIZE 5000 / 7000</t>
  </si>
  <si>
    <t>https://down-id.img.susercontent.com/file/sg-11134201-22100-k1884q5wfniv6e@resize_w640_nl</t>
  </si>
  <si>
    <t>Reel Murah Kaizen Genki pilih ukuran</t>
  </si>
  <si>
    <t>https://down-id.img.susercontent.com/file/e26f0a750f1ff7018c4fe70d55c383b2@resize_w640_nl</t>
  </si>
  <si>
    <t>reel lizard fox reel spining fishing gear ratio 6.2:1 gulungan pancing fox</t>
  </si>
  <si>
    <t>https://down-id.img.susercontent.com/file/3d16650ad2bf2a7e202f7e02feb88b43@resize_w640_nl</t>
  </si>
  <si>
    <t>reel fly fish oxya 3000 power hendel</t>
  </si>
  <si>
    <t>https://down-id.img.susercontent.com/file/id-11134207-7qul7-lkaxo4cqf1ogdb@resize_w640_nl</t>
  </si>
  <si>
    <t>Fishing Reel 13BB Gear Ratio 5.2:1 | Kumparan Pancing</t>
  </si>
  <si>
    <t>https://down-id.img.susercontent.com/file/id-11134207-822wi-moxyt9r89mv56f@resize_w640_nl</t>
  </si>
  <si>
    <t>Reel Luke Jaco 2000 Power Handle</t>
  </si>
  <si>
    <t>https://down-id.img.susercontent.com/file/f247e5a0475cf88622ed943fb1cbba42@resize_w640_nl</t>
  </si>
  <si>
    <t>REEL PANCING KASTKING LANCELOT 3000 2000  FISHING REEL REL RIIL RILS RIL PANCING KASKING LONCELOT</t>
  </si>
  <si>
    <t>https://down-id.img.susercontent.com/file/213b68057522941c91362db8d6166e7f@resize_w640_nl</t>
  </si>
  <si>
    <t>Reel Pancing Baitcasting Fishing Reel 18+1 Ball Bearing 7.2:1 Right Hand - EL1000 Tangan Kiri</t>
  </si>
  <si>
    <t>https://down-id.img.susercontent.com/file/c97a6a0706fdc07ca4519ea87f096e62@resize_w640_nl</t>
  </si>
  <si>
    <t>Reel Pancing Lizard Zeus HP 2 II 1000 - 6000 (13+1 Bearing) Power Handle Terbaru  Murah - Engkus Fishing</t>
  </si>
  <si>
    <t>https://down-id.img.susercontent.com/file/sg-11134201-23010-kmxhfew1xxmv15@resize_w640_nl</t>
  </si>
  <si>
    <t>REEL POWER HANDLE VEZEL CHAMPION 3000-4000 / 13+1 BB</t>
  </si>
  <si>
    <t>https://down-id.img.susercontent.com/file/id-11134207-7quky-lhd0shnjo9965d@resize_w640_nl</t>
  </si>
  <si>
    <t>Reel Kenzi Beta 1000-6000 Power Handle</t>
  </si>
  <si>
    <t>https://down-id.img.susercontent.com/file/1f7019fa4d0e77254222d67559a97655@resize_w640_nl</t>
  </si>
  <si>
    <t>MAGNUM Venus 1000 - 6000DX Fishing Reel Alat Pancingan Murah Kerekan</t>
  </si>
  <si>
    <t>https://down-id.img.susercontent.com/file/id-11134207-7qukx-lhwvodywr36611@resize_w640_nl</t>
  </si>
  <si>
    <t>Fishing Reel Rel Rell Ril Katrol Spinning Pancing Iroly santuy Power Handle 1000 2000 3000 Murah Cod</t>
  </si>
  <si>
    <t>https://down-id.img.susercontent.com/file/b97cad65caa749a71ef304c8c97da449@resize_w640_nl</t>
  </si>
  <si>
    <t>Reel Pancing Deukio AC2000 / 3000 / 4000 spinning 13 Ball Bearing</t>
  </si>
  <si>
    <t>https://down-id.img.susercontent.com/file/id-11134207-7rbk5-m9yfthi6iue65e@resize_w640_nl</t>
  </si>
  <si>
    <t>Reel Next Silstone 4000 Power Handle</t>
  </si>
  <si>
    <t>https://down-id.img.susercontent.com/file/18bb3ad7bff2856b7a2b7582eaf88e94@resize_w640_nl</t>
  </si>
  <si>
    <t>Reel Ultralight Micro Fishing Orca Mako 800 One Way Power Handle Alumunium Spool / Kerekan Gulungan Senar Pancing Spining Mini Ringan Putaran Rell Halus Super Kuat Murah Serta Berkualitas</t>
  </si>
  <si>
    <t>https://down-id.img.susercontent.com/file/sg-11134201-7rbkd-llk6sdujnx5n5a@resize_w640_nl</t>
  </si>
  <si>
    <t>reel flyfish bandhit dan cruise</t>
  </si>
  <si>
    <t>https://down-id.img.susercontent.com/file/sg-11134201-23010-yigfu8wvsnmve2@resize_w640_nl</t>
  </si>
  <si>
    <t>Yumoshi Reel Pancing EF6000 Metal Fishing Spinning Reel 12 Ball Bearing - Gold</t>
  </si>
  <si>
    <t>https://down-id.img.susercontent.com/file/9fbf44a6b5e66a26ab74a5b818b4ac38@resize_w640_nl</t>
  </si>
  <si>
    <t>Reel Pancing UL Mini Be One Dante 500 &amp; 800 (11+1 Bearing) Power Handle Ultra Light - Engkus Fishing</t>
  </si>
  <si>
    <t>https://down-id.img.susercontent.com/file/e17d4eeebd02ddc60e983ee7c41c8018@resize_w640_nl</t>
  </si>
  <si>
    <t>Fishing Reel Ril Rill Rel Rell Katrol Kerekan Spinning Pancing Uticate Akuma 1000 2000 3000 6000 Power Handle Peralatan Pancingan Casting Ikan Mas Gabus Lele Toman Laut</t>
  </si>
  <si>
    <t>https://down-id.img.susercontent.com/file/4907cde3b1165e19bbddbff7cc4dc955@resize_w640_nl</t>
  </si>
  <si>
    <t>Reel Golden Fish Nimo 241 351 551</t>
  </si>
  <si>
    <t>https://down-id.img.susercontent.com/file/ca8fa3f59ba213387ebcb385909dced8@resize_w640_nl</t>
  </si>
  <si>
    <t>Reel Exori Helios 800 &amp; 1000 (Power Handle)</t>
  </si>
  <si>
    <t>https://down-id.img.susercontent.com/file/ca8b3c95b00668a3716d5a8a3ad889a6@resize_w640_nl</t>
  </si>
  <si>
    <t>REEL FLY FISH IGOS HP 1000/2000/3000 POWER HANDLE</t>
  </si>
  <si>
    <t>https://down-id.img.susercontent.com/file/id-11134207-7qul8-lfndci7vxkar20@resize_w640_nl</t>
  </si>
  <si>
    <t>MAGNUM Stradic A Fishing Reel Pancingan Murah Silver Alumunium Spool</t>
  </si>
  <si>
    <t>https://down-id.img.susercontent.com/file/id-11134207-7qul4-lhwuzv0koxd665@resize_w640_nl</t>
  </si>
  <si>
    <t>Fishing Reel Oyama WEE 207DX Kerekan Pancing Murah Japan Quality</t>
  </si>
  <si>
    <t>https://down-id.img.susercontent.com/file/id-11134207-7qukz-ljkq7d2lw94zfa@resize_w640_nl</t>
  </si>
  <si>
    <t>Reel Metal Murah Berkualitas DEUKIO AC2000</t>
  </si>
  <si>
    <t>https://down-id.img.susercontent.com/file/a32ad66a8271bae027477c7989911b45@resize_w640_nl</t>
  </si>
  <si>
    <t>Reel Pancing Orca FRASER 125 ONE WAY Kuat putaran reel halus</t>
  </si>
  <si>
    <t>https://down-id.img.susercontent.com/file/c7a4ce81cd45d29667de0278f2d83c70@resize_w640_nl</t>
  </si>
  <si>
    <t>Reel KOBE Jota 800 Power Handle</t>
  </si>
  <si>
    <t>https://down-id.img.susercontent.com/file/id-11134207-7qul6-lgt0ge5d59oza0@resize_w640_nl</t>
  </si>
  <si>
    <t>REEL PANCING KASTKING SHARKY III KASKING LONCELOT FISHING REEL RELL RILL RIL REELSKING UL YUMOSHI</t>
  </si>
  <si>
    <t>https://down-id.img.susercontent.com/file/e79f0ace239d73e972c10a2c95a7fcc7@resize_w640_nl</t>
  </si>
  <si>
    <t>REEL SPINNING REVFORK PREMIUM FISHING TACKLES ZUHO 3000-4000-6000 / 12+1BALL BEARING</t>
  </si>
  <si>
    <t>https://down-id.img.susercontent.com/file/48301eebc89959dcea5c988509b745fc@resize_w640_nl</t>
  </si>
  <si>
    <t>TC-IF064 YUMOSHI REELSKING EF3000 Reel Pancing Spinning 12 Ball Bearing</t>
  </si>
  <si>
    <t>https://down-id.img.susercontent.com/file/1a159ffe45054c7241d3098f5f2fcf3b@resize_w640_nl</t>
  </si>
  <si>
    <t>MAGNUM Ripper 1000 - 6000DX Fishing Reel Alat Gulungan Pancingan Murah</t>
  </si>
  <si>
    <t>https://down-id.img.susercontent.com/file/id-11134207-7qul0-lhwuzv0kjb3edc@resize_w640_nl</t>
  </si>
  <si>
    <t>Reel Pancing Spinning Kuat Full Besi 12 Ball Bearing Katrol Kerekan Alat Gulungan Pancingan</t>
  </si>
  <si>
    <t>https://down-id.img.susercontent.com/file/8bad9e3d53b471cea7a1a57f830bc295@resize_w640_nl</t>
  </si>
  <si>
    <t>UTC Shogun Fishing Reel - One Way Fishing Reel</t>
  </si>
  <si>
    <t>https://down-id.img.susercontent.com/file/03680648352cb0cff512618cc86bf5a9@resize_w640_nl</t>
  </si>
  <si>
    <t>TaffSPORT Gold Sharking Metal Reel Pancing Spinning 5.2:1 - NX4000 - Black</t>
  </si>
  <si>
    <t>https://down-id.img.susercontent.com/file/id-11134201-7qukx-lhn1m4gogq671f@resize_w640_nl</t>
  </si>
  <si>
    <t>Kyoto MATIC A Fishing Reel Metal Spool Alat Pancing Ikan Gulungan Pancing Murah</t>
  </si>
  <si>
    <t>https://down-id.img.susercontent.com/file/id-11134207-7r98y-llk1v8aeg85o64@resize_w640_nl</t>
  </si>
  <si>
    <t>Reel One Way Fugu Kohaku Graphite 500</t>
  </si>
  <si>
    <t>https://down-id.img.susercontent.com/file/id-11134207-7r98r-llymqborvkb201@resize_w640_nl</t>
  </si>
  <si>
    <t>Reel Pancing Gold Sharking NX series ukuran 2000 / 3000 / 4000 / 5000 / 6000 / 7000 bahan full metal</t>
  </si>
  <si>
    <t>https://down-id.img.susercontent.com/file/id-11134207-7rasi-m3ahlvfvqaqidc@resize_w640_nl</t>
  </si>
  <si>
    <t>Yumoshi Gulungan Pancing EF3000 Metal Fishing Spinning Reel 12 Ball Bearing - Golden 3ITH08GD</t>
  </si>
  <si>
    <t>https://down-id.img.susercontent.com/file/149e4027107cfe7048e68da56ce0668a@resize_w640_nl</t>
  </si>
  <si>
    <t>DEBAO Reel Pancing DB3000 10 Ball bearing Max Drag 10KG Gear Ratio 5.2:1 Material Metal Original Produk</t>
  </si>
  <si>
    <t>https://down-id.img.susercontent.com/file/340c3218db722152c8c922e3a40e1129@resize_w640_nl</t>
  </si>
  <si>
    <t>Gold Sharking LK7000 LK5000 JK2000 JK5000 reel Pancing Spinning Fishing 4.7:1 Ball Bearing 13 - Reel Pancing Murah kuat - Reel pancing laut kuat 30kg - Rill pancing power handle - Rill pancing laut - Alat penggulung senar pancing</t>
  </si>
  <si>
    <t>Reel Daido Original Dark Night SW Power Handle Size 1000 2000 3000 4000 6000 | Reel Hulk Sinister Shikari Acura One Way 10 Ball Bearing Gulungan Pancing Spinning Mancing Kolam Harian</t>
  </si>
  <si>
    <t>363.400</t>
  </si>
  <si>
    <t>https://down-id.img.susercontent.com/file/id-11134207-8224u-mkucxfuywnba64@resize_w640_nl</t>
  </si>
  <si>
    <t>Sabpolo Marvel A Fishing Reel Spinning Alat Pancing Sungai Kolam</t>
  </si>
  <si>
    <t>170.000</t>
  </si>
  <si>
    <t>https://down-id.img.susercontent.com/file/sg-11134201-22090-u2ce0xo9j1hv27@resize_w640_nl</t>
  </si>
  <si>
    <t>Aquapro Reel Pancing Gulungan Pancing Putar Kadal 1000-7000 Kumparan Aloi 8KG Tarik Maksimal 5.2:1 Gulungan Pancing Ikan Memancing Ikan Bass Umpan Pancing Fishing Reel Spool Metal Aluminium Real Pancing</t>
  </si>
  <si>
    <t>100.000</t>
  </si>
  <si>
    <t>https://down-id.img.susercontent.com/file/sg-11134253-7rdwa-md7d19sj1ujq8f@resize_w640_nl</t>
  </si>
  <si>
    <t>WISIN Reel pancing NX2000-7000 16KG/Reel Spining Pancing Murah Kuat Power/Reel Pancing Laut Tarikan Pancing Metal Reel Pancing Putar Rell Rill Pancing Katrol Kerekan Pancing Fishing Reel Spool Metal Aluminium</t>
  </si>
  <si>
    <t>93.750</t>
  </si>
  <si>
    <t>https://down-id.img.susercontent.com/file/id-11134207-7r98x-luzsknlqjbxj3c@resize_w640_nl</t>
  </si>
  <si>
    <t>Reel Pancing Power Handle Metal 13bb 5.2:1 Gulungan Pemutar Senar Spinning Fishing Cepat Lancar</t>
  </si>
  <si>
    <t>92.800</t>
  </si>
  <si>
    <t>https://down-id.img.susercontent.com/file/id-11134201-7r98x-lmhe7tshxgkfd3@resize_w640_nl</t>
  </si>
  <si>
    <t>Anyfish EMERALD Fishing Reel Alat Pancing Murah Power Handle</t>
  </si>
  <si>
    <t>541.700</t>
  </si>
  <si>
    <t>https://down-id.img.susercontent.com/file/aeff433a99848f5337dca90d24290406@resize_w640_nl</t>
  </si>
  <si>
    <t>Fishing Reel Anyfish Evo HPX Power Handle</t>
  </si>
  <si>
    <t>429.200</t>
  </si>
  <si>
    <t>https://down-id.img.susercontent.com/file/1ce3a76dc87e3bff6cded8885ce8d055@resize_w640_nl</t>
  </si>
  <si>
    <t>Fishing Reel Anyfish DEMON HP Power Handle</t>
  </si>
  <si>
    <t>416.700</t>
  </si>
  <si>
    <t>https://down-id.img.susercontent.com/file/e5ac55c097bf04b3c67305e7006ecf3f@resize_w640_nl</t>
  </si>
  <si>
    <t>DAIDO DIABLO REEL PANCING DAIDO REEL BANDEL IFT Victory Tackle Online</t>
  </si>
  <si>
    <t>327.750</t>
  </si>
  <si>
    <t>https://down-id.img.susercontent.com/file/id-11134207-7rasc-m5xkcpvgvogoca@resize_w640_nl</t>
  </si>
  <si>
    <t>REEL PANCING MINI SPINNING METAL MN100 GULUNGAN PANCING MINI FISHING REEL 4.3:1</t>
  </si>
  <si>
    <t>197.000</t>
  </si>
  <si>
    <t>https://down-id.img.susercontent.com/file/sg-11134201-23020-py4401ofa0mv04@resize_w640_nl</t>
  </si>
  <si>
    <t>Reel Pancing Ryobi Ultra Power 500HPX 800HPX 1000HPX Limited Edition Ultralight Fishing Spinning</t>
  </si>
  <si>
    <t>1.050.000</t>
  </si>
  <si>
    <t>https://down-id.img.susercontent.com/file/sg-11134201-22120-9plnxblphplv8c@resize_w640_nl</t>
  </si>
  <si>
    <t>Reel Shimano CATANA FE [2022] 1000 2000 2500 3000 4000 HG XG Pancing Resmi</t>
  </si>
  <si>
    <t>814.000</t>
  </si>
  <si>
    <t>https://down-id.img.susercontent.com/file/d99149a4deba0ea086286ab1a0ad6113@resize_w640_nl</t>
  </si>
  <si>
    <t>Reel Spinning MAGURO ZANDER | Harian | Galatama | Laut | Power Handle</t>
  </si>
  <si>
    <t>403.700</t>
  </si>
  <si>
    <t>https://down-id.img.susercontent.com/file/92c6cbbbacc5f4dc08a95bc904c32bfb@resize_w640_nl</t>
  </si>
  <si>
    <t>Anyfish Predax HP Fishing Reel Gulungan Pancing Kerekan Pancingan</t>
  </si>
  <si>
    <t>475.000</t>
  </si>
  <si>
    <t>https://down-id.img.susercontent.com/file/717de894490749b52d58dfe2c267cbb4@resize_w640_nl</t>
  </si>
  <si>
    <t>Reel Spinning Maguro Avenger</t>
  </si>
  <si>
    <t>305.600</t>
  </si>
  <si>
    <t>https://down-id.img.susercontent.com/file/7f7f8337a307197f3a623496432e03e4@resize_w640_nl</t>
  </si>
  <si>
    <t>Reel Spinning HINOMIYA STELIOS SW 1000 s/d 6000 | Saltwater Resistant Power Handle | Spinnning | Galeri Mancing</t>
  </si>
  <si>
    <t>297.000</t>
  </si>
  <si>
    <t>https://down-id.img.susercontent.com/file/id-11134207-81ztm-mez73gmszvuydb@resize_w640_nl</t>
  </si>
  <si>
    <t>REEL HINOMIYA UNIVERSAL | Ril Ultralight Ringan Kuat | Ril Galatama Kuat Smooth</t>
  </si>
  <si>
    <t>277.000</t>
  </si>
  <si>
    <t>https://down-id.img.susercontent.com/file/id-11134207-7r98p-lzbic86ymvc01a@resize_w640_nl</t>
  </si>
  <si>
    <t>Sabpolo HORNET 2000-5000 HP Fishing Reel Perlengkapan Peralatan Alat Pancing Ikan Mancing</t>
  </si>
  <si>
    <t>238.400</t>
  </si>
  <si>
    <t>https://down-id.img.susercontent.com/file/30d36fcfac3980c64b583f8d60a104d7@resize_w640_nl</t>
  </si>
  <si>
    <t>REEL PANCING SPINNING SGL BS2000-BS3000</t>
  </si>
  <si>
    <t>185.000</t>
  </si>
  <si>
    <t>https://down-id.img.susercontent.com/file/6cb9fe933fb9e2f711373a38c94d97a7@resize_w640_nl</t>
  </si>
  <si>
    <t>APEN Gulungan Pancing Full Metal Fishing Spinning Reel 120 Meter Aksesoris Pancingan Barang Unik</t>
  </si>
  <si>
    <t>147.852</t>
  </si>
  <si>
    <t>https://down-id.img.susercontent.com/file/id-11134207-81zte-mr2tvtv3ow7g40@resize_w640_nl</t>
  </si>
  <si>
    <t>REAL PANCING SPINNING 1000 2000 3000 5000 DC SERIES GULUNGAN PANCING REEL 13 BALL BEARING 5.2:1</t>
  </si>
  <si>
    <t>135.000</t>
  </si>
  <si>
    <t>https://down-id.img.susercontent.com/file/sg-11134201-22090-f6s5lm27syhv96@resize_w640_nl</t>
  </si>
  <si>
    <t>Reel Daido Dark Knight Vendetta Talisman Blizzard Diablo Arctic Battle Prix Carbonized Pollux Hellhound Power Handle Ares Dynamite One Way Salt Water SW | Reel Shikari Hulk Sinister Acura Thunder One Way 10 ball bearing Reel Danzo Black Matte Power Handle</t>
  </si>
  <si>
    <t>125.664</t>
  </si>
  <si>
    <t>https://down-id.img.susercontent.com/file/id-11134207-81ztc-mqohzuocok5p09@resize_w640_nl</t>
  </si>
  <si>
    <t>Reel Daido Dark Knight |Blizzard Vulcane Power Handle Reel Pancing Ultralight Jigging |Reel Daido Dynamite Vendetta Ares Mekong One Way Galatama Ultralight Jigging | Reel Shikari Hulk Sinister Acura One Way 10 | Reel Danzo Black Matte Power Handle</t>
  </si>
  <si>
    <t>Reel Seahawk Tron Max 500 (Power Handle)</t>
  </si>
  <si>
    <t>350.000</t>
  </si>
  <si>
    <t>https://down-id.img.susercontent.com/file/id-11134207-81ztf-mq37ol1n6ha896@resize_w640_nl</t>
  </si>
  <si>
    <t>Fishing Reel Spinning OKUMA JAW cocok buat casting Kecil Putaran Smoth</t>
  </si>
  <si>
    <t>442.000</t>
  </si>
  <si>
    <t>https://down-id.img.susercontent.com/file/fe9f6ae9f2d619725c1b04678c058331@resize_w640_nl</t>
  </si>
  <si>
    <t>Reel Tomman beaufort 2000 3000 spinning</t>
  </si>
  <si>
    <t>392.000</t>
  </si>
  <si>
    <t>https://down-id.img.susercontent.com/file/id-11134207-7r98t-llg3a8jd0xeaf6@resize_w640_nl</t>
  </si>
  <si>
    <t>Sougayilang Reel Pancing 13 + 1BB 5-12Kg Aluminium Spul Pemintalan Memancing Mesin Memancing Coil</t>
  </si>
  <si>
    <t>130.000</t>
  </si>
  <si>
    <t>https://down-id.img.susercontent.com/file/id-11134207-7r98w-lym13ouqjxgoc4@resize_w640_nl</t>
  </si>
  <si>
    <t>Reel Pancing Spinning Ogawa SE 200A Random Color | Aluminium Spool, 5 Ball Bearings, Ringan 176gr, Body Plastik Kuat</t>
  </si>
  <si>
    <t>60.040</t>
  </si>
  <si>
    <t>https://down-id.img.susercontent.com/file/id-11134207-822wm-mpnf4jtjehov92@resize_w640_nl</t>
  </si>
  <si>
    <t>Fishing Reel 5.2:1 / Reel Spinning Murah Kuat Power / Gulungan Putar Mini / Gulungan Senar Pancing HE1000 - HE6000 10KG</t>
  </si>
  <si>
    <t>https://down-id.img.susercontent.com/file/id-11134207-7qul3-li7hv4187ht980@resize_w640_nl</t>
  </si>
  <si>
    <t>[CMall] Gold Sharking Reel Pancing Spinning Interchangeable Handle 5.5:1 12 Ball Bearing</t>
  </si>
  <si>
    <t>45.900</t>
  </si>
  <si>
    <t>https://down-id.img.susercontent.com/file/b737f4df4741ed940fdb49b2c388bfdc@resize_w640_nl</t>
  </si>
  <si>
    <t>PROMO Reel Spinning Maguro BREAM | Ril Kolam Ril Laut | Pilih Ukuran</t>
  </si>
  <si>
    <t>282.600</t>
  </si>
  <si>
    <t>https://down-id.img.susercontent.com/file/8c50558ed199c65aec5aee9c0cf76c16@resize_w640_nl</t>
  </si>
  <si>
    <t>KYOTO LIBERO Spinning Fishing Reel Alat Gulung Pancing Power Handle</t>
  </si>
  <si>
    <t>294.200</t>
  </si>
  <si>
    <t>https://down-id.img.susercontent.com/file/sg-11134201-23020-7ch3qnjmb4mv2e@resize_w640_nl</t>
  </si>
  <si>
    <t>Kyoto ATOZ Spinning Reel Fishing Murah Metal Spool Gulungan Pancing</t>
  </si>
  <si>
    <t>135.900</t>
  </si>
  <si>
    <t>https://down-id.img.susercontent.com/file/33c56f56e8651b5861f8de5b45f58f95@resize_w640_nl</t>
  </si>
  <si>
    <t>Reel Pancing Power Handle GETSU JHOSER SW Gen-1 &amp; Gen-2 Size 800 - 1000 - 2000 - 3000</t>
  </si>
  <si>
    <t>259.000</t>
  </si>
  <si>
    <t>https://down-id.img.susercontent.com/file/id-11134207-7r98x-lw9sv9kgm83u2f@resize_w640_nl</t>
  </si>
  <si>
    <t>Kyoto Leeder Series Fishing Reel Power Handle Murah</t>
  </si>
  <si>
    <t>591.700</t>
  </si>
  <si>
    <t>https://down-id.img.susercontent.com/file/1cb0571d9c60bd609336f550cac82f62@resize_w640_nl</t>
  </si>
  <si>
    <t>COD Reel Tokos One Way Aluminium KAGAWA DS 30 40 50 60 70Max Drag Up To 7Kg</t>
  </si>
  <si>
    <t>197.880</t>
  </si>
  <si>
    <t>https://down-id.img.susercontent.com/file/id-11134207-82251-mih0hf7ojzt0eb@resize_w640_nl</t>
  </si>
  <si>
    <t>Fishing Reel pancing Murah Kyoto TINY 203</t>
  </si>
  <si>
    <t>116.000</t>
  </si>
  <si>
    <t>https://down-id.img.susercontent.com/file/aa88664febe3263ac113a2ec69974ad8@resize_w640_nl</t>
  </si>
  <si>
    <t>Reel Pancing Daido Carbonized 800 - 6000 (8+1 Bearing) Power Handle Full Seal Bearing -  Engkus Fishing</t>
  </si>
  <si>
    <t>396.800</t>
  </si>
  <si>
    <t>https://down-id.img.susercontent.com/file/sg-11134201-22110-3f03bbg66bjvad@resize_w640_nl</t>
  </si>
  <si>
    <t>Reel Pancing VERSUS GLADIATOR NEW 1000 - 6000 (7 Seal Bearing) Go Strike - Engkus Fishing</t>
  </si>
  <si>
    <t>388.800</t>
  </si>
  <si>
    <t>https://down-id.img.susercontent.com/file/id-11134207-822wn-mlrztp43hxqbb0@resize_w640_nl</t>
  </si>
  <si>
    <t>Kyoto Jasper 1000-6000DX Fishing Reel Power Handle Metal Spool Alat Kerekan Pancing Murah</t>
  </si>
  <si>
    <t>333.400</t>
  </si>
  <si>
    <t>https://down-id.img.susercontent.com/file/088bdc1602c9138d3592f33cc8d1e2a2@resize_w640_nl</t>
  </si>
  <si>
    <t>Reel Pancing VERSUS GLADIATOR NEW 1000 - 6000 (7 Seal Bearing) Murah - Engkus Fishing</t>
  </si>
  <si>
    <t>https://down-id.img.susercontent.com/file/id-11134207-822wu-mlrztp4mnmkg1b@resize_w640_nl</t>
  </si>
  <si>
    <t>Reel Spinning POWER HANDLE Super Smooth Kualitas Import Dengan Drag maksimal 15kg Reel Spinning Fugu Etsuko 1000 3000 6000</t>
  </si>
  <si>
    <t>80.000</t>
  </si>
  <si>
    <t>https://down-id.img.susercontent.com/file/sg-11134201-7rd5p-lwy5r4nds8kma8@resize_w640_nl</t>
  </si>
  <si>
    <t>Reel pancing Gulungan pancing logam penuh reel 500-7000 10Kg Reel Pancing Murah Kuat Power Handle Reel Pancing Reel Spinning POWER HANDLE Super Smooth Kualitas Import Dengan Drag maksimal 15kg Reel Spinning Fugu Etsuko 1000 3000 6000</t>
  </si>
  <si>
    <t>https://down-id.img.susercontent.com/file/sg-11134201-7rd4l-lwy1rsrkndgpe1@resize_w640_nl</t>
  </si>
  <si>
    <t>Sougayilang 1.8M Joran Pancing Set 5.2:1 Gear Ratio Reel Pancing Spinning Fishing Reel Combo</t>
  </si>
  <si>
    <t>69.999</t>
  </si>
  <si>
    <t>https://down-id.img.susercontent.com/file/id-11134207-7ra0o-md9v6hvtbrs432@resize_w640_nl</t>
  </si>
  <si>
    <t>[ COD ] - Reel Pancing DEUKIO AC2000 Fishing Reel 5.2:1 Gear Ratio Bahan Aluminium</t>
  </si>
  <si>
    <t>105.000</t>
  </si>
  <si>
    <t>https://down-id.img.susercontent.com/file/6371c733048fd3071911e7dc8983b642@resize_w640_nl</t>
  </si>
  <si>
    <t>Reel Next Artica 1000 2000 3000 Power Handle</t>
  </si>
  <si>
    <t>https://down-id.img.susercontent.com/file/02662cc2991a2329eb4830129254e829@resize_w640_nl</t>
  </si>
  <si>
    <t>Reel Pancing Maguro Hover 1000 - 6000 Original (9+1Bearing) Power Handle - Engkus Fishing</t>
  </si>
  <si>
    <t>432.300</t>
  </si>
  <si>
    <t>https://down-id.img.susercontent.com/file/id-11134207-7qul8-lhxma5sbd4a85d@resize_w640_nl</t>
  </si>
  <si>
    <t>Reel Pancing Maguro Zander 1000 - 6000 Original (9+1 Bearing) Power Handle  - Engkus Fishing</t>
  </si>
  <si>
    <t>https://down-id.img.susercontent.com/file/id-11134207-7qul8-lhxma5sbbppsa3@resize_w640_nl</t>
  </si>
  <si>
    <t>Reel Pancing Shikari Ebisu 800 - 6000 Spool  Alumunium (6 Bearing) Murah Berkualitas - Engkus Fishing</t>
  </si>
  <si>
    <t>https://down-id.img.susercontent.com/file/c14bfd470c80752b2a9f1a76aaa668c3@resize_w640_nl</t>
  </si>
  <si>
    <t>Reel Pancing Go Strike Versus Racer HG 2000 / 3000 / 4000 (7 Bearing) Power Handle Murah - Engkus Fishing</t>
  </si>
  <si>
    <t>425.000</t>
  </si>
  <si>
    <t>https://down-id.img.susercontent.com/file/id-11134207-7r98s-lqt6gkuzvnf499@resize_w640_nl</t>
  </si>
  <si>
    <t>[Cod] Caldari Reel Pancing LC800-7000 Ril Pancing Kuat Full Metal Reel Pancing Spinning Power Handle Katrol Pancing 5.2:1 Max Drag 30KG Fishing Reel 13+1 BB DAIWA</t>
  </si>
  <si>
    <t>177.800</t>
  </si>
  <si>
    <t>https://down-id.img.susercontent.com/file/id-11134207-822ws-mmbi04bvcxl15d@resize_w640_nl</t>
  </si>
  <si>
    <t>Reel Pancing Shikari Fino Simura Spin 250 GRATIS Handle (5 Bearing) Spool Alumunium Murah - Engkus Fishing</t>
  </si>
  <si>
    <t>75.000</t>
  </si>
  <si>
    <t>https://down-id.img.susercontent.com/file/id-11134207-8224p-milm8d44074354@resize_w640_nl</t>
  </si>
  <si>
    <t>Reel Pancing Shikari Fino / Simura 250 (5 Bearing) Spool Aluminium Murah - Engkus Fishing</t>
  </si>
  <si>
    <t>https://down-id.img.susercontent.com/file/id-11134207-8224v-milm8d4477yb77@resize_w640_nl</t>
  </si>
  <si>
    <t>Reel Captain KOWLOON 200 - 300 - 600 Power Handle</t>
  </si>
  <si>
    <t>300.000</t>
  </si>
  <si>
    <t>https://down-id.img.susercontent.com/file/983e073c77906b7992429bc78bb88424@resize_w640_nl</t>
  </si>
  <si>
    <t>BAYAR DI TEMPAT COD REEL YUMOSHI REELSKING EF3000 EF SERIES SPOOL METAL 12BB</t>
  </si>
  <si>
    <t>147.480</t>
  </si>
  <si>
    <t>https://down-id.img.susercontent.com/file/sg-11134253-7ra3e-m56efyhl72io5f@resize_w640_nl</t>
  </si>
  <si>
    <t>Reel Pancing Getsu Rankers 1000 - 6000 (6+1 Bearing) Body Metal Power Handle - Engkus Fishing</t>
  </si>
  <si>
    <t>https://down-id.img.susercontent.com/file/id-11134207-7r98z-lmenwazlrr9050@resize_w640_nl</t>
  </si>
  <si>
    <t>Reel Pancing Asli Besi Fishing Reel 10kg Drag 5.2:1 Kincir Logam Berkekuatan Tinggi, Gulungan Pancing Ikan Air Asin Gulungan Pancing Reel pancing Gulungan pancing logam penuh reel 500-7000 10Kg Reel Pancing Murah Kuat Power Handle Reel Pancing Laut</t>
  </si>
  <si>
    <t>https://down-id.img.susercontent.com/file/sg-11134201-7rd5t-lwy09swt8t56a4@resize_w640_nl</t>
  </si>
  <si>
    <t>[Indonesia Spot] reel pancing putar alat pancing HE500-7000 reel pancing murah joran pancing spining gulungan pancingan reel</t>
  </si>
  <si>
    <t>159.000</t>
  </si>
  <si>
    <t>https://down-id.img.susercontent.com/file/id-11134207-7rasb-m2qifha40dzpe7@resize_w640_nl</t>
  </si>
  <si>
    <t>Reel BC SILVER Leo II Bait Casting Reel 13 + 1 BB</t>
  </si>
  <si>
    <t>457.800</t>
  </si>
  <si>
    <t>https://down-id.img.susercontent.com/file/id-11134207-81ztd-mqoai7zzexhpbe@resize_w640_nl</t>
  </si>
  <si>
    <t>Reel pancing logam penuh reel spinning mesin mancing casting fishing reel profesional 12kg NX 2000-7000 red fishing reel daidoReel pancing logam penuh reel spinning mesin mancing casting fishing reel profesional 12kg HB500-7000 fishing reel daiwa Reel pan</t>
  </si>
  <si>
    <t>178.000</t>
  </si>
  <si>
    <t>https://down-id.img.susercontent.com/file/sg-11134253-7rdxh-mc6wdwelj35v68@resize_w640_nl</t>
  </si>
  <si>
    <t>Sougayilang Reel Pangcing 12BB Kiri Dan Kanan Alat Pancing Spinning 5.5:1</t>
  </si>
  <si>
    <t>168.300</t>
  </si>
  <si>
    <t>https://down-id.img.susercontent.com/file/55ce4a5b9a1678a875136f046d4ad32e@resize_w640_nl</t>
  </si>
  <si>
    <t>[Dikirim Dari Jakarta] ReeL ReeL Murah HANDLE KIRI Baitcasting Reel Penggulung Senar Pancing Tangan Kanan 210g Drag Baitcasting Reel reel pancing BC reel 7.2:1 Fishing Reel</t>
  </si>
  <si>
    <t>186.000</t>
  </si>
  <si>
    <t>https://down-id.img.susercontent.com/file/id-11134207-822wl-mmbiikbijjlx7a@resize_w640_nl</t>
  </si>
  <si>
    <t>Sougayilang 4000 Seri Spinning 4BB 5.2: 1 Rasio Gear Fishing Reel Super Kuat Carp Fishing Reel Fishing Tools</t>
  </si>
  <si>
    <t>https://down-id.img.susercontent.com/file/88199e6583510214e944cb55d4ca9cae@resize_w640_nl</t>
  </si>
  <si>
    <t>Sougayilang 12BB Metal Spinning Reel 5.0: 1 Rasio Gear Reel Pancing Air Tawar 1000-3000 Series untuk Fishing Tackle</t>
  </si>
  <si>
    <t>160.000</t>
  </si>
  <si>
    <t>https://down-id.img.susercontent.com/file/72489b103330811cac688cb10be4b74b@resize_w640_nl</t>
  </si>
  <si>
    <t>Reel Pancing Maguro Thanos XT 1000 - 8000 ( 7+1 Bearing ) Power Handle Murah - Engkus Fishing</t>
  </si>
  <si>
    <t>420.800</t>
  </si>
  <si>
    <t>https://down-id.img.susercontent.com/file/sg-11134201-7rbk0-lkts78ubexfl83@resize_w640_nl</t>
  </si>
  <si>
    <t>235.500</t>
  </si>
  <si>
    <t>https://down-id.img.susercontent.com/file/sg-11134201-7rblt-llfw7f6x2ffwd1@resize_w640_nl</t>
  </si>
  <si>
    <t>[Indonesia Spot] New Products for 2024 CaldariMesin Pancing Udang Baitcasting Reel Laut Murah Memancing 5.2: 1spinning Reel Logam Spool 10kg Kekuatan Pengereman 12bb Casting Fishing Reels</t>
  </si>
  <si>
    <t>167.000</t>
  </si>
  <si>
    <t>https://down-id.img.susercontent.com/file/id-11134207-7rasd-m0dzfudpfx28b2@resize_w640_nl</t>
  </si>
  <si>
    <t>Sougayilang Logam/EVA handleFishing Reel 1000-4000 Pemintalan Memancing Reel 5.2: 1 Rasio Gear Reel Pancing Untuk Memancing Air Tawar</t>
  </si>
  <si>
    <t>150.000</t>
  </si>
  <si>
    <t>https://down-id.img.susercontent.com/file/3d0b4cfcda0675c04c214e6daebcf9cc@resize_w640_nl</t>
  </si>
  <si>
    <t>Reel Pancing Maguro XT Spawn, Civil, Avenger, Thanos, Thor ( 1000 - 8000 ) Murah - Engkus Fishing</t>
  </si>
  <si>
    <t>376.600</t>
  </si>
  <si>
    <t>https://down-id.img.susercontent.com/file/id-11134207-7qul0-lkhtlzizgwc6fb@resize_w640_nl</t>
  </si>
  <si>
    <t>Reel Pancing 9000 10000 11000 12000 Series Max Drag 30KG 13+1 Stainless Steel BB 4.6:1 Gear Ratio Body Logam Anti Karat Untuk Mancing di Laut READY STOCK COD</t>
  </si>
  <si>
    <t>290.000</t>
  </si>
  <si>
    <t>https://down-id.img.susercontent.com/file/id-11134207-7ra0m-mcsmbjkeg3dz75@resize_w640_nl</t>
  </si>
  <si>
    <t>✔️Indonesia Spot✔️ daiwa reel Spinning Reel fishing reel Gulungan Memancing Mesin Pancing Rod mesin casting murah HE-Klasifikasi Rasio kecepatan5.2:1</t>
  </si>
  <si>
    <t>https://down-id.img.susercontent.com/file/sg-11134201-7rd70-lwy67xgkpt2e27@resize_w640_nl</t>
  </si>
  <si>
    <t>Sougayilang Reel Pancing Saltwater Fishing Reel Drum Reel Dan Full Metal Sea Fishing reel Memancing Dengan Laut</t>
  </si>
  <si>
    <t>1.000.000</t>
  </si>
  <si>
    <t>https://down-id.img.susercontent.com/file/id-11134207-7r990-lybvi087i8j1ef@resize_w640_nl</t>
  </si>
  <si>
    <t>Reel Pancing BC Baitcasting Versus pure Casting 301 (10+1 Bearing) Handel Kiri Murah - Engkus Fishing</t>
  </si>
  <si>
    <t>299.500</t>
  </si>
  <si>
    <t>https://down-id.img.susercontent.com/file/id-11134207-7qul7-lf4kikebslvibc@resize_w640_nl</t>
  </si>
  <si>
    <t>Reel Pancing BC Baitcasting Go-Strike Versus Iguana 103L (8 Bearing) Bonus Cover Reel - Engkus Fishing</t>
  </si>
  <si>
    <t>472.200</t>
  </si>
  <si>
    <t>https://down-id.img.susercontent.com/file/sg-11134201-7qvg0-lf4gw1tle9v749@resize_w640_nl</t>
  </si>
  <si>
    <t>Sougayilang Reel Pancing Pemintalan Berwarna-warni 13 +1 BB Ultra Ringan Kuat Spinning Fishing Reel</t>
  </si>
  <si>
    <t>390.000</t>
  </si>
  <si>
    <t>https://down-id.img.susercontent.com/file/id-11134207-7r990-lq2yjhivlb3z0e@resize_w640_nl</t>
  </si>
  <si>
    <t>Sougayilang Reel Pancing Berwarna-warni 13 + 1BB Ultra Ringan Kuat Spinning Fishing Reel untuk Meman</t>
  </si>
  <si>
    <t>https://down-id.img.susercontent.com/file/53ba47e4b4b4c114ec6e13582b1fba8d@resize_w640_nl</t>
  </si>
  <si>
    <t>Reel Pancing EXORI HYPER POWER 750 - 3000 Putaran Clicker (2 Bearing) Murah - Engkus Fishing</t>
  </si>
  <si>
    <t>https://down-id.img.susercontent.com/file/id-11134207-822wt-mpulsfpepmha16@resize_w640_nl</t>
  </si>
  <si>
    <t>[Indonesia Spot]Daiwa reel Spinning Reel fishing reel Reel Pancing Logam Penuh Poros kawat logam Reel pancing jarak jauh Rasio kecepatan5.2:1 Mesin Pancing Rod</t>
  </si>
  <si>
    <t>200.000</t>
  </si>
  <si>
    <t>https://down-id.img.susercontent.com/file/sg-11134253-7rep2-m8aoi40sug0hde@resize_w640_nl</t>
  </si>
  <si>
    <t>Reel Bait Casting / BC Murah MS 18+1BB Max Drag 6.5KG / Left Handle</t>
  </si>
  <si>
    <t>205.000</t>
  </si>
  <si>
    <t>https://down-id.img.susercontent.com/file/id-11134211-7qul5-ljwg4kb02em712@resize_w640_nl</t>
  </si>
  <si>
    <t>Sougayilang Reel Pancing Fishing Reel 1000 -3000 Ukuran Spinning Fishing Reel Kiri/Kanan Tangan Dapat Berubah Untuk</t>
  </si>
  <si>
    <t>https://down-id.img.susercontent.com/file/id-11134207-7r98x-lnib0s4qr62k18@resize_w640_nl</t>
  </si>
  <si>
    <t>Reel Pancing SW Power Handle Tahan Air Anti Karat Max Drag 21KG 5+1 BB Untuk Mancing di Laut READY STOCK COD</t>
  </si>
  <si>
    <t>179.800</t>
  </si>
  <si>
    <t>https://down-id.img.susercontent.com/file/id-11134207-7r98v-lnjp94pe56d830@resize_w640_nl</t>
  </si>
  <si>
    <t>✔️Indonesia Spot✔️lure baitcast reel alat pancing murah reel pancing  ai2000 mesin pancing baitcast reel lure casting Rasio gigi7.2:1</t>
  </si>
  <si>
    <t>190.000</t>
  </si>
  <si>
    <t>https://down-id.img.susercontent.com/file/id-11134207-7rasg-m2qgpgf9pz9g76@resize_w640_nl</t>
  </si>
  <si>
    <t>Reel BC Baitcasting Lizard Audy (18+1Bearing) Handle kiri Murah - Engkus Fishing</t>
  </si>
  <si>
    <t>183.500</t>
  </si>
  <si>
    <t>https://down-id.img.susercontent.com/file/ec0235c3f2a4fc69606ffbcb8e5c91d8@resize_w640_nl</t>
  </si>
  <si>
    <t>Reel Pancing Putar Rell Rill Pancing Katrol Kerekan Pancing Fishing Reel Spool Metal Aluminium</t>
  </si>
  <si>
    <t>154.400</t>
  </si>
  <si>
    <t>https://down-id.img.susercontent.com/file/id-11134207-822wo-mp4zwh73sxl764@resize_w640_nl</t>
  </si>
  <si>
    <t>Reel Pancing Fishing Reel 10kg HE500 - 7000 / Reel Pancing Murah Kuat Power Handle/ Reel Pancing Laut Tarikan Pancing Metal/  Reel Pancing REEL PANCING METAL</t>
  </si>
  <si>
    <t>156.000</t>
  </si>
  <si>
    <t>https://down-id.img.susercontent.com/file/sg-11134201-7rd40-lwxoutc0s3hbe3@resize_w640_nl</t>
  </si>
  <si>
    <t>Reel Pancing 7.2:1  Reel Pancing New Casting Fishing Reel Max Drag 10kg Fishing Reel</t>
  </si>
  <si>
    <t>174.000</t>
  </si>
  <si>
    <t>3.9</t>
  </si>
  <si>
    <t>https://down-id.img.susercontent.com/file/sg-11134201-7rbln-llae5uwy4818fe@resize_w640_nl</t>
  </si>
  <si>
    <t>SA5000 SA4000 SA3000 SA2000 SA1000 Series Reel Pancing Spinning Fishing Reel 5.5:1 Gear Ratio/Rell Rel Ril Riil Rill SA 5000 4000 3000 2000 1000 Gulungan Penggulung Kerek Kerekan Katrol Senar Pancing Pancingan Ikan Casting Tegek Tegeg Murah Original Asli</t>
  </si>
  <si>
    <t>125.000</t>
  </si>
  <si>
    <t>https://down-id.img.susercontent.com/file/sg-11134253-7ra1v-m56hcnn5hv4u67@resize_w640_nl</t>
  </si>
  <si>
    <t>Reel Pancing Mini MN100 Metal Series Spinning Fishing Reel 4.3:1 12+1 BB</t>
  </si>
  <si>
    <t>49.999</t>
  </si>
  <si>
    <t>https://down-id.img.susercontent.com/file/id-11134253-81ztf-mspnkcgwqigy4c@resize_w640_nl</t>
  </si>
  <si>
    <t>Sougayilang 3 Pilihan Warna Reel Pancing 1000-4000 Spinning Fishing Reel Gear Ratio : 5.2:1 Fishing Tackle yang hemat biaya</t>
  </si>
  <si>
    <t>120.000</t>
  </si>
  <si>
    <t>https://down-id.img.susercontent.com/file/931cae28d20bce1ad65fa3f827dcb521@resize_w640_nl</t>
  </si>
  <si>
    <t>Sougayilang 1000-4000 Spinning Fishing Reel Gear Ratio: 5.2:1 Fishing Tackle yang hemat biaya Reel Pancing</t>
  </si>
  <si>
    <t>Sougayilang Kualitas Terbaik Reel Pancing 6 Ball Bearing Spinning Reel Pancing Rasio Gear: 5.2:1 Fishing Tackle</t>
  </si>
  <si>
    <t>Sougayilang 9000-12000 Reel Pancing Fishing Reel Surfcasting Reel Ultra Powerful Fishing Spinning Reel untuk Fishing Saltwater</t>
  </si>
  <si>
    <t>800.000</t>
  </si>
  <si>
    <t>https://down-id.img.susercontent.com/file/sg-11134201-7qvf2-lj3z5nh4rzar6e@resize_w640_nl</t>
  </si>
  <si>
    <t>Reel Pancing HE1000 - 7000 10 Kg/ Reel Pancing Murah Kuat Power/ Reel Pancing Laut Tarikan Pancing Metal/ Gulungan Pancing Ikan Logam</t>
  </si>
  <si>
    <t>140.000</t>
  </si>
  <si>
    <t>https://down-id.img.susercontent.com/file/sg-11134201-7rd4a-lwxt3g8dqmw6c8@resize_w640_nl</t>
  </si>
  <si>
    <t>[ COD ] - Reel Pancing Gold Sharking BK4000 Spinning Fishing 5.2:1 Ball Bearing 13 Reel Spinning Fugu Etsuko 2000 5000 7000</t>
  </si>
  <si>
    <t>163.049</t>
  </si>
  <si>
    <t>https://down-id.img.susercontent.com/file/sg-11134201-7rd6o-lwy0erxr9f4ac1@resize_w640_nl</t>
  </si>
  <si>
    <t>Sougayilang Reel Pancing 1000-4000 5.2:1 10Kg Gulungan Pancing Spinning Fishing Reel</t>
  </si>
  <si>
    <t>138.600</t>
  </si>
  <si>
    <t>https://down-id.img.susercontent.com/file/c85b263dc8f4e4bd20528e8342e1796f@resize_w640_nl</t>
  </si>
  <si>
    <t>Reel Pancing EXORI LITTLE PEACE 750 / 850 Power Handle (8 Bearing) Murah Original - Engkus Fishing</t>
  </si>
  <si>
    <t>65.000</t>
  </si>
  <si>
    <t>https://down-id.img.susercontent.com/file/id-11134207-7rasb-m60xva4jih1v14@resize_w640_nl</t>
  </si>
  <si>
    <t>Metal Fishing Reel Pancing LK2000 3000 4000 5000 6000 7000 Reel Pancing Metal Front Drag 13BB 5.2:1 Max Drag 30KG Metalc Reel Sipining Pancing Murah Kuat Power</t>
  </si>
  <si>
    <t>163.800</t>
  </si>
  <si>
    <t>https://down-id.img.susercontent.com/file/sg-11134201-7rd6t-lwwkfouv4a9527@resize_w640_nl</t>
  </si>
  <si>
    <t>Metal Spool CNC Baitcasting Fishing Reel 12+1BB 6.3:1 Max Drag 8kg Long Cast Reel Casting Reel Fishing Wheel Reel Pancing Reel Saltwater Fishing Bantalan Bola Sistem Bass Reel Gulungan Pancing Fishing Gear Gulungan Kabel Fishing Tool Fishing lover</t>
  </si>
  <si>
    <t>172.000</t>
  </si>
  <si>
    <t>https://down-id.img.susercontent.com/file/sg-11134201-7rd4q-lwy02siol95288@resize_w640_nl</t>
  </si>
  <si>
    <t>Sougayilang 1000-5000 ukuran Fishing Reel Harga terendah untuk Metal Spool 1000-4000 Joran Pancing alat pancingan</t>
  </si>
  <si>
    <t>https://down-id.img.susercontent.com/file/522dcd315c4e488f518869c7845cfa0d@resize_w640_nl</t>
  </si>
  <si>
    <t>Reel BC Reelsking handle kiri</t>
  </si>
  <si>
    <t>307.500</t>
  </si>
  <si>
    <t>https://down-id.img.susercontent.com/file/6ecf30f129882187d2ec63a478b7e142@resize_w640_nl</t>
  </si>
  <si>
    <t>Sougayilang Reel Pancing Berputar Rasio Gigi Reel Pancing 5.2: 1 13 + 1 Bantalan Gulungan Pancing Warna Kecepatan Tinggi untuk air tawar</t>
  </si>
  <si>
    <t>500.000</t>
  </si>
  <si>
    <t>https://down-id.img.susercontent.com/file/id-11134207-7qul5-lh2rsdw23fmzb3@resize_w640_nl</t>
  </si>
  <si>
    <t>Reel Pancing HE1000 - 5000 10 Kg/ Reel Pancing Murah Kuat Power Handle/ Reel Pancing Laut Tarikan Pancing Metal/ Pancing Fishing Reel Spool Metal Aluminium Gulungan Pancing Ikan</t>
  </si>
  <si>
    <t>180.000</t>
  </si>
  <si>
    <t>https://down-id.img.susercontent.com/file/sg-11134201-7rd69-lx0w994g50so90@resize_w640_nl</t>
  </si>
  <si>
    <t>Reel Pancing Putar Rell Rill Pancing Katrol Kerekan Pancing Fishing Reel Spool Metal reel powerful  handle Alat</t>
  </si>
  <si>
    <t>https://down-id.img.susercontent.com/file/sg-11134201-7rd4a-lwxu1ymtk39md8@resize_w640_nl</t>
  </si>
  <si>
    <t>HAIYI FISHING reel pancing besi 20kg Max drag Kumparan Pancing Logam pegangan CNC powerful rell pancing murah</t>
  </si>
  <si>
    <t>210.000</t>
  </si>
  <si>
    <t>https://down-id.img.susercontent.com/file/sg-11134201-22100-kkjapkutvviv8d@resize_w640_nl</t>
  </si>
  <si>
    <t>Sougayilang Spinning Fishing Reel Tubuh Logam Fishing Reel Putaran Pitch Panjang Model 9000/12000 Cocok untuk memancing di laut dan memancing di air tawar</t>
  </si>
  <si>
    <t>860.000</t>
  </si>
  <si>
    <t>https://down-id.img.susercontent.com/file/id-11134207-7qul9-ljb4m2hbev12bc@resize_w640_nl</t>
  </si>
  <si>
    <t>Gulungan Pancing 12 BB Spinning Reel Pancing Dengan Rasio Gear Tinggi 5.0: 1 Spinning Reel Untuk Tangan Kiri/Kanan Untuk Freashwater</t>
  </si>
  <si>
    <t>https://down-id.img.susercontent.com/file/6229fe88298793e0db5f42f0906f6f0d@resize_w640_nl</t>
  </si>
  <si>
    <t>Caldari Reel Pancing Set Portable Fishing Rod Reel Set 2 Section 12+1BB 5.2:1 High Speed Combo Set</t>
  </si>
  <si>
    <t>427.000</t>
  </si>
  <si>
    <t>https://down-id.img.susercontent.com/file/id-11134207-822wq-mp7ukm1csphcc8@resize_w640_nl</t>
  </si>
  <si>
    <t>5.2:1 Fishing Reel Dengan Pegangan Pegangan Ganda Seri / Max Drag 6kg Gulungan Senar Pancing / Reel Pancing Murah Kuat Power Handle</t>
  </si>
  <si>
    <t>310.000</t>
  </si>
  <si>
    <t>https://down-id.img.susercontent.com/file/id-11134207-7quky-ljodm6x3tn53a5@resize_w640_nl</t>
  </si>
  <si>
    <t>Reel Pancing HE1000 - 7000 10 Kg/ Reel Pancing Murah Kuat Power/Gulungan Pancing Ikan Logam Metal CNC/ Gulungan Senar Pancing/ Reel Pancing Shimano</t>
  </si>
  <si>
    <t>https://down-id.img.susercontent.com/file/sg-11134201-7rdvd-m02w8i56xkxaf3@resize_w640_nl</t>
  </si>
  <si>
    <t>Reel Spinning Max Drag 15kg Reel Pancing Metal HE500 - HE7000 Model Powerful Rell Pancing Murah Metal  Reel</t>
  </si>
  <si>
    <t>https://down-id.img.susercontent.com/file/sg-11134201-7rd6k-lwxws1to36tod2@resize_w640_nl</t>
  </si>
  <si>
    <t>Reel Pancing Metal HE Sereis Max Drag 10KG 12BB 1000 2000 3000 4000 6000 7000 Gulungan Pancing Ikan Logam Metal CNC/ Gulungan Senar Pancing Murah</t>
  </si>
  <si>
    <t>https://down-id.img.susercontent.com/file/sg-11134201-7rd6e-lwxwq9kg4b5yc6@resize_w640_nl</t>
  </si>
  <si>
    <t>Double Handle Reel Pancing 1000-5000 Metal Spool Reel Max Drag 10kg Pancing Putar Spinning Fishing Reel with Free Line</t>
  </si>
  <si>
    <t>145.000</t>
  </si>
  <si>
    <t>https://down-id.img.susercontent.com/file/id-11134207-81zth-mqh2e5orw2kt7e@resize_w640_nl</t>
  </si>
  <si>
    <t>1000-4000 Model Reel Pancing Logam Max Drag 20kg  Cocok untuk memancing di laut di semua perairan fishing reel Gulungan pancing powerful</t>
  </si>
  <si>
    <t>https://down-id.img.susercontent.com/file/sg-11134201-22120-yl7dmjxwwelvea@resize_w640_nl</t>
  </si>
  <si>
    <t>Reel Pancing Metal LK2000 - 7000 30 Kg/ Reel Pancing Tarikan Full Besi Murah Kuat/ Reel Ryobi/ Tarikan Pancing Ikan Logam CNC Air Laut/</t>
  </si>
  <si>
    <t>https://down-id.img.susercontent.com/file/sg-11134201-7rd4u-lwxspw2c1be1fc@resize_w640_nl</t>
  </si>
  <si>
    <t>Reel Pancing Spining Reel Gear Ratio 5.2:1 Drag 8KG Fishing Reel 2000 Modle  Power Handle Gulungan Pancing Untuk Air Tawar Atau Air Asin Gulungan Pancing</t>
  </si>
  <si>
    <t>https://down-id.img.susercontent.com/file/id-11134201-23030-cetrga72dboveb@resize_w640_nl</t>
  </si>
  <si>
    <t>Reel Pancing 1000-5000 Series Double Handle/ Power Hand Bahan Metal Untuk Memancing Max Drag 10KG  Air Laut Fishing reel Alat Pancingan rell pancing reel power handle katrol pancing</t>
  </si>
  <si>
    <t>276.000</t>
  </si>
  <si>
    <t>https://down-id.img.susercontent.com/file/id-11134207-7rbk6-makrzpxwn4k90c@resize_w640_nl</t>
  </si>
  <si>
    <t>BERKLY - Reel Pancing Putar KM1000-7000 Rell Rill Pancing Katrol Kerekan Pancing Fishing Reel Spool Metal Aluminium Reel Pancing KM</t>
  </si>
  <si>
    <t>184.500</t>
  </si>
  <si>
    <t>https://down-id.img.susercontent.com/file/id-11134207-7qukx-lj26vi0y2gh9ac@resize_w640_nl</t>
  </si>
  <si>
    <t>Sougayilang pancing reel spinning reel 12+1BB 5.0:1 Tersedia tiga warna Dilengkapi dengan pegangan listrik Cocok untuk memancing di sungai dan danau</t>
  </si>
  <si>
    <t>279.600</t>
  </si>
  <si>
    <t>https://down-id.img.susercontent.com/file/id-11134207-7r98w-lmgudlm2o0p80e@resize_w640_nl</t>
  </si>
  <si>
    <t>Reel Pancing Fishing Reel Spinning SW Series 10+1 Ball Bearing Spool Aluminium Gear Ratio 6.2:1  Power Handle Stainless Steel Anti Karat</t>
  </si>
  <si>
    <t>340.000</t>
  </si>
  <si>
    <t>Flash Sale 18:00 15 Sep</t>
  </si>
  <si>
    <t>https://down-id.img.susercontent.com/file/id-11134207-8224o-mfxrzu9fmpzjbe@resize_w640_nl</t>
  </si>
  <si>
    <t>128.000</t>
  </si>
  <si>
    <t>https://down-id.img.susercontent.com/file/sg-11134201-7rd59-lwxs7e04qig90a@resize_w640_nl</t>
  </si>
  <si>
    <t>reel pancing alat pancing asli besi fishing reel 10kg drag 5.2:1 Kincir Logam Berkekuatan Tinggi, Gulungan Pancing Ikan Air Asin gulungan pancing / REEL PANCING METAL HE SERIES MAX DRAG 10KG 12BB 1000 2000 3000 4000</t>
  </si>
  <si>
    <t>106.000</t>
  </si>
  <si>
    <t>https://down-id.img.susercontent.com/file/sg-11134253-7ra3r-m565vfv2edai84@resize_w640_nl</t>
  </si>
  <si>
    <t>AQUASEA - Reel Pancing KM1000-7000 Rell Rill Pancing Katrol Kerekan PancingAluminium Reel Pancing KM</t>
  </si>
  <si>
    <t>188.500</t>
  </si>
  <si>
    <t>https://down-id.img.susercontent.com/file/id-11134207-7rbka-m7dbr2373xnka8@resize_w640_nl</t>
  </si>
  <si>
    <t>Reel Pancing HE500 - 7000 10 Kg/ Reel Pancing Murah Kuat Power Handle/ Reel Pancing Laut Tarikan Pancing Metal/ Gulungan Pancing</t>
  </si>
  <si>
    <t>https://down-id.img.susercontent.com/file/sg-11134201-7rd6k-lwy5uelf6nwmf9@resize_w640_nl</t>
  </si>
  <si>
    <t>Reel Pancing Fishing Reel Power Handle Fishing Reel CNC Screw in 6.2:1 Gear Ratio 12KG Max Drag Single Handle Grip Aluminum Shallow Deep Spool Spinning Fishing Reel Gagang Logam</t>
  </si>
  <si>
    <t>https://down-id.img.susercontent.com/file/id-11134207-8224u-mfxh59cwr7rdef@resize_w640_nl</t>
  </si>
  <si>
    <t>Reel Pancing BC Baitcasting Murah / Reel Baitcasting Pancing 7.2:1 / Reel Pancing Casting / Handle Kanan / Kiri Max Drag 8KG Fishing Reel</t>
  </si>
  <si>
    <t>280.000</t>
  </si>
  <si>
    <t>https://down-id.img.susercontent.com/file/id-11134207-7qul0-licqntpgd5lcf0@resize_w640_nl</t>
  </si>
  <si>
    <t>Reel Pancing Metal Fishing Reel  Max Drag  25KG 4 Ball Bearings 4000 Gulungan Pancing Can Catch Carp Reel Pancing</t>
  </si>
  <si>
    <t>https://down-id.img.susercontent.com/file/id-11134201-23030-roy6uac6bioved@resize_w640_nl</t>
  </si>
  <si>
    <t>Baitcasting Fishing Reel Casting Fishing Rod Fishing Set Metal Spool Reel Max Drag 10kg Rod Fishing Combo GR 6.3:1  13+1BB Pancing Set Joran Pancing Set 1.6m 1.8m 2.1m Joran Dan 13+1BB 6.3:1 Reel BC Joran Casting Set Joran Set Lengkap</t>
  </si>
  <si>
    <t>158.000</t>
  </si>
  <si>
    <t>https://down-id.img.susercontent.com/file/sg-11134201-7rd4j-lwy5q6t1b52e6c@resize_w640_nl</t>
  </si>
  <si>
    <t>Sougayilang Reel Pancing 12+1BB Fishing Reel 6.3:1 Gear Ratio Travel Bass Reel Bc</t>
  </si>
  <si>
    <t>355.000</t>
  </si>
  <si>
    <t>https://down-id.img.susercontent.com/file/3cb091588f8308ea332499bf9e9643a8@resize_w640_nl</t>
  </si>
  <si>
    <t>Reel Pancing 13 + 1BB Carp Spinning Fishing Reel dengan 2 Jenis Spool Wheels Kanan Kiri Handle Laut 4.7: 1 High Speed ​​Fishing Reel handle reel pancing</t>
  </si>
  <si>
    <t>241.890</t>
  </si>
  <si>
    <t>https://down-id.img.susercontent.com/file/id-11134207-7r98z-lyfy5k881wbi11@resize_w640_nl</t>
  </si>
  <si>
    <t>Power Hand Reel Pancing Memancing Rasio Gear 5.2:1 Max Drag 5-10KG Joran Pancing 1000-5000 Bahan Metal reel power handle reel harrow vector kerekan pancing</t>
  </si>
  <si>
    <t>244.000</t>
  </si>
  <si>
    <t>https://down-id.img.susercontent.com/file/id-11134207-7rbk5-m9r6xnd9veuzbb@resize_w640_nl</t>
  </si>
  <si>
    <t>https://down-id.img.susercontent.com/file/id-11134207-8224v-mjnw8hz7xvcxca@resize_w640_nl</t>
  </si>
  <si>
    <t>Reel Pancing Fishing Reel 5.2:1 Gear Ratio Stainless 1000-6000 Series Spinning Reel Max Drag 8kg Carp Reels for Sea Fishing</t>
  </si>
  <si>
    <t>216.000</t>
  </si>
  <si>
    <t>https://down-id.img.susercontent.com/file/id-11134207-7r98x-lzrbct94ryzf8b@resize_w640_nl</t>
  </si>
  <si>
    <t>✔️ Indonesia Spot ✔️ Baitcast Reel fishing reelTetapkan Penawaran Mesin Pancing Rod rod casting reel reel mancing udang kastking reel kastking</t>
  </si>
  <si>
    <t>229.997</t>
  </si>
  <si>
    <t>https://down-id.img.susercontent.com/file/id-11134207-7r98u-lr87ffjeprnqac@resize_w640_nl</t>
  </si>
  <si>
    <t>Baitcasting Reel / Penggulung Senar Pancing Tangan Kanan / Kiri Rasio 6.3: 1 210g Drag Baitcasting Reel reel pancing BC reel 6.3:1 Fishing Reel 10KG Max Drag alat pancing Fishing reel bc murah</t>
  </si>
  <si>
    <t>https://down-id.img.susercontent.com/file/sg-11134201-7rd4h-lwxsn3ll1zey3e@resize_w640_nl</t>
  </si>
  <si>
    <t>READY STOCK COD!! Spinning Reel 60KG Max Drag 5.2:1 High Speed | Full Metal Power Handle 13+1 Stainless Steel BB Anti-Karat | Reel Pancing Kuat Murah | Mesin Casting Untuk Mancing Besar Air Laut Air Tawar</t>
  </si>
  <si>
    <t>https://down-id.img.susercontent.com/file/id-11134207-7ra0h-mcsmbjkeah4726@resize_w640_nl</t>
  </si>
  <si>
    <t>Reel Pancing Baitcasting 18 + 1bb Rasio 7.2: 1 Untuk Air Tawar / Laut</t>
  </si>
  <si>
    <t>238.000</t>
  </si>
  <si>
    <t>https://down-id.img.susercontent.com/file/id-11134207-7ra0g-mcixn6i5echkad@resize_w640_nl</t>
  </si>
  <si>
    <t>Sougayilang Reel Pancing Max Drag 30kg Spinning Reel Fishing Reel 1000-4000</t>
  </si>
  <si>
    <t>492.723</t>
  </si>
  <si>
    <t>https://down-id.img.susercontent.com/file/cn-11134207-7qukw-ljm5qepb9eycf2@resize_w640_nl</t>
  </si>
  <si>
    <t>Sougayilang Reel Pancing 2000-5000 Series Spinning Fishing Reel 12 + 1BB alat pancingan Fishing Reel Untuk Memancing Di Luar Ruangan for Joran  Pancing (Kirim kail dan iming-iming gratis)</t>
  </si>
  <si>
    <t>299.000</t>
  </si>
  <si>
    <t>https://down-id.img.susercontent.com/file/id-11134207-7r98z-lw5kjgvigyod49@resize_w640_nl</t>
  </si>
  <si>
    <t>NX2000 NX4000 NX6000 Series Metal Reel Fishing Reel 5.2:1 Gear Ratio / Rell Reel Rel Ril Riil Rill Gulungan Penggulung Kerek Kerekan Katrol Senar Pancing Pancingan Ikan Mas Udang Casting Tegek Tegeg Power Handle Laut Mini Metal Murah Ori NX 2000/4000/6000</t>
  </si>
  <si>
    <t>https://down-id.img.susercontent.com/file/3c26ab51da706ba957d6914c1e4f0c11@resize_w640_nl</t>
  </si>
  <si>
    <t>Sougayilang Joran Set 1.8m 2.1m Ultra Light Carbon 10kg 19+1BB 7.2:1 Reel BC Joran Casting Set Joran Set Lengkap</t>
  </si>
  <si>
    <t>517.000</t>
  </si>
  <si>
    <t>https://down-id.img.susercontent.com/file/sg-11134201-22110-nve2svtxcojv9d@resize_w640_nl</t>
  </si>
  <si>
    <t>Baitcasting reel reel bc tangan kiri 10 kg drag 7.2:1 speed ratio Cangkir gulungan Baitcasting BC Reel Rell Rill Kecepatan Tinggi Up 8KG Max Drag Pancing Katrol Kerekan Pancing Fishing Reel Spool Gulungan Memancing Pancing BC Reel 6.3:1 Max Drag 10kg</t>
  </si>
  <si>
    <t>https://down-id.img.susercontent.com/file/sg-11134201-7rd3x-lwy0xk4tqacpc2@resize_w640_nl</t>
  </si>
  <si>
    <t>Sougayilang Reel Pancing 2 Warna Spinning Fishing Reel 5.2:1 Gear Ratio Fishing Reel with Aluminum Spool For Freshwater Fishing Pancing</t>
  </si>
  <si>
    <t>https://down-id.img.susercontent.com/file/sg-11134201-7qve4-lh7h8iop2i3na4@resize_w640_nl</t>
  </si>
  <si>
    <t>Rell Pancing Bc 7.2: 1 Reel Pancing 12BB Max Drag 8KG Real Pancing Bc Casting Baitcasting Murah AK2000 Baitcasting Reel Reel Pancing BC ree Kecepatan Tinggi Up To 10KG Max Drag Laut Memancing Untuk Bass Di Lingkungan Laut Reel Fishing Reel Fishing Baitcas</t>
  </si>
  <si>
    <t>176.000</t>
  </si>
  <si>
    <t>https://down-id.img.susercontent.com/file/sg-11134201-7rd6w-lwwkkq2lxk0v40@resize_w640_nl</t>
  </si>
  <si>
    <t>Sougayilang Trolling Fishing Reel Right/Left Hand Black Drum Type Fishing Reel Wheel Casting Fishing Reel</t>
  </si>
  <si>
    <t>440.000</t>
  </si>
  <si>
    <t>https://down-id.img.susercontent.com/file/id-11134207-7ra0j-mbyq25bnm177cd@resize_w640_nl</t>
  </si>
  <si>
    <t>Reel Pancing HE1000 - 7000 10 Kg/ Reel Pancing Murah Kuat Power/ Reel Pancing Laut Tarikan Pancing Metal/ Gulungan Pancing Ikan Logam Metal CNC/ Gulungan Senar Pancing</t>
  </si>
  <si>
    <t>https://down-id.img.susercontent.com/file/id-11134207-7rasm-m3eyep4otwbg5e@resize_w640_nl</t>
  </si>
  <si>
    <t>Reel pancing besi 12kg reel pancing gulungan pancing alat pancing reel pancing murah original banan metal bearing reel pancing besi 12kg max</t>
  </si>
  <si>
    <t>171.251</t>
  </si>
  <si>
    <t>https://down-id.img.susercontent.com/file/sg-11134201-7rd6y-lwwkfkpb8jew13@resize_w640_nl</t>
  </si>
  <si>
    <t>HAIYI FISHING LK2000-7000 Full Metal Fishing Reel Metal Fishing Reel High Speed Salt Water Fishing Reel spinning reel pancing</t>
  </si>
  <si>
    <t>220.000</t>
  </si>
  <si>
    <t>https://down-id.img.susercontent.com/file/id-11134207-7qula-liigt0vb9taxcc@resize_w640_nl</t>
  </si>
  <si>
    <t>Reel BC | Reel Murah | HANDLE KIRI Baitcasting Reel / Penggulung Senar Pancing Tangan Kanan / Kiri Rasio 6.3: 1 210g Drag Baitcasting Reel reel pancing BC reel 6.3:1 Fishing Reel</t>
  </si>
  <si>
    <t>Flash Sale 12:00 15 Sep</t>
  </si>
  <si>
    <t>https://down-id.img.susercontent.com/file/sg-11134201-7rd6y-lwy02iij8ajkd9@resize_w640_nl</t>
  </si>
  <si>
    <t>HAIYI FISHING Baitcasting Fishing Set Metal Spool Fishing Reel 1.68M/1.8M/1.98M Strong Elasticity Casting Reel Saltwater Pancing BC Reel Alat Gulungan Kabel Fishing Combo Max Drag 8kg Joran Pancing Ultralight Lure Rod Bahan Serat Karbon Ultra Ringan</t>
  </si>
  <si>
    <t>400.000</t>
  </si>
  <si>
    <t>https://down-id.img.susercontent.com/file/id-11134207-7rask-m63plp5oyz6le3@resize_w640_nl</t>
  </si>
  <si>
    <t>Baitcasting Reel Reel Pancing BC ree Kecepatan Tinggi Up To 10KG Max Drag Laut Memancing Untuk Bass Di Lingkungan Laut Reel Fishing Reel Fishing Baitcasting Fishing Reel Fishing Rod Set Pancing BC Reel 6.3:1 Bantalan Bola Sistem 12 + 1BB Bass Reel Metal</t>
  </si>
  <si>
    <t>https://down-id.img.susercontent.com/file/sg-11134253-7reox-m81havlud02f68@resize_w640_nl</t>
  </si>
  <si>
    <t>Indonesia Spot fishing reel Spinning Reel+PancingTetapkan Penawaran mesin mancing casting rod casting reel mesin pancing murah</t>
  </si>
  <si>
    <t>229.425</t>
  </si>
  <si>
    <t>https://down-id.img.susercontent.com/file/sg-11134253-7rdvf-mc4gnzz8x632ad@resize_w640_nl</t>
  </si>
  <si>
    <t>reel alat pancing reel pancing mesin reel mancing fishing reel Baitcast Reel Gaya 16KG alat memancing gulungan pancingan</t>
  </si>
  <si>
    <t>225.400</t>
  </si>
  <si>
    <t>https://down-id.img.susercontent.com/file/id-11134207-7rasa-m2qi9ity2cph4c@resize_w640_nl</t>
  </si>
  <si>
    <t>Sougayilang Fishing Rod and Reel Set Wood Handle 1.6m Telescopic Casting Fishing Rod 7.2:1 12+1BB Colorful Fishing Reel Fishing Tackle Set</t>
  </si>
  <si>
    <t>420.000</t>
  </si>
  <si>
    <t>https://down-id.img.susercontent.com/file/id-11134207-7rbk1-mam6nbt60ch004@resize_w640_nl</t>
  </si>
  <si>
    <t>reel pancing HK500-7000 EVA/Metal Ball Grip Carp Reel Fishing Pesca Saltwater Fresh Sea Fishing Reel</t>
  </si>
  <si>
    <t>https://down-id.img.susercontent.com/file/id-11134207-81zti-me83g7n4iqrk3d@resize_w640_nl</t>
  </si>
  <si>
    <t>Reel pancing Metal spinning fishing reel murah Alat gulungan senar Pancing Rill Rell pancing ukuran 500 800 1000 2000 3000 4000 5000 6000 BILLINGS Deukio Gold Sharking Lizard BO DIAO</t>
  </si>
  <si>
    <t>https://down-id.img.susercontent.com/file/a8a6f6d6b7f8157c8c4cc17bdb879bb5@resize_w640_nl</t>
  </si>
  <si>
    <t>Reel Spinning Pancing Air tawar Ultralight Freshwater Reel Pancing Power Handle 1000 2000 2500 3000 4000 5000</t>
  </si>
  <si>
    <t>https://down-id.img.susercontent.com/file/sg-11134201-7rd48-lwz4fscgf4cq7e@resize_w640_nl</t>
  </si>
  <si>
    <t>Sougayilang 1.8M-2.1M Portable Fishing Rod Reel Set 2 Section Lure Rod  12+1BB 5.2:1 High Speed Fishing Reel Gear and Fishing Reel Combo Set for Carp Fishing Rod Joran pancing set</t>
  </si>
  <si>
    <t>522.000</t>
  </si>
  <si>
    <t>https://down-id.img.susercontent.com/file/id-11134207-7r98y-lw5earcoibosee@resize_w640_nl</t>
  </si>
  <si>
    <t>Paket Joran Pancing M Power Perak Baru + Spinning Reel Saltwater 5.2:1 High Speed Max Drag 50Kg Anti Karat Cocok Air Asin Tawar</t>
  </si>
  <si>
    <t>682.740</t>
  </si>
  <si>
    <t>https://down-id.img.susercontent.com/file/id-11134207-82252-mjfcj2cudhj9ad@resize_w640_nl</t>
  </si>
  <si>
    <t>Baitcasting Reel reel pancing BC reel kiri handle 7.2:1 Fishing Reel 10KG Max Drag alat pancing Fishing reel bc murah</t>
  </si>
  <si>
    <t>199.000</t>
  </si>
  <si>
    <t>https://down-id.img.susercontent.com/file/id-11134207-7r98s-lmly1v5rlyx378@resize_w640_nl</t>
  </si>
  <si>
    <t>Reel Pancing DA1000 - 7000  5.2:1 Gulungan Reel Pancing Murah Kuat Metal CNC Gulungan Senar Pancing 100% Original</t>
  </si>
  <si>
    <t>https://down-id.img.susercontent.com/file/id-11134207-7rbk9-mas8439rtlmg71@resize_w640_nl</t>
  </si>
  <si>
    <t>High Quality Trolling Reel 6+1BB Model 30 Max Drag 30kg Fishing Reel Left/Right Choose For Sea Fishing</t>
  </si>
  <si>
    <t>448.596</t>
  </si>
  <si>
    <t>https://down-id.img.susercontent.com/file/id-11134207-7qul7-lj2ful43nin580@resize_w640_nl</t>
  </si>
  <si>
    <t>https://down-id.img.susercontent.com/file/sg-11134201-7rd4j-lws2tsgfmxmadf@resize_w640_nl</t>
  </si>
  <si>
    <t>Reel BC Mini Casting Pancing 18+1 Stainless Steel BB 7.2:1 High Speed Max Drag 15KG Body Full Logam EVA Power Handle Anti Karat Untuk Mancing Lure Air Tawar Air Laut READY STOCK COD</t>
  </si>
  <si>
    <t>240.000</t>
  </si>
  <si>
    <t>https://down-id.img.susercontent.com/file/id-11134207-82252-mh1pzafu79xr42@resize_w640_nl</t>
  </si>
  <si>
    <t>Baitcasting Reel kiri 18+1BB 10kg Max Drag Force Speed Ratio 7.2:1 Magnetic Metal All Metal Spool Casting Fishing Reel</t>
  </si>
  <si>
    <t>https://down-id.img.susercontent.com/file/id-11134201-23030-lhob2ks5giov99@resize_w640_nl</t>
  </si>
  <si>
    <t>Sougayilang Fishing Reel Gulungan Pancing 13+1BB 5.2:1Gear Max Drag 5-12kg Reel Pancing For Gift Free Spool rell pancing</t>
  </si>
  <si>
    <t>430.000</t>
  </si>
  <si>
    <t>https://down-id.img.susercontent.com/file/id-11134207-7rasc-m0judq2n8z7rdb@resize_w640_nl</t>
  </si>
  <si>
    <t>Baitcasting Reel kiri 18BB bc reel 8-10kg drag 7.2:1 Fishing Reel Saltwater Reel Fishing reel pancing</t>
  </si>
  <si>
    <t>https://down-id.img.susercontent.com/file/2eb2d0f77aa237fced7e72816deaef0c@resize_w640_nl</t>
  </si>
  <si>
    <t>Reel pancing spool metal XF series</t>
  </si>
  <si>
    <t>175.000</t>
  </si>
  <si>
    <t>https://down-id.img.susercontent.com/file/354efd42cf257d916dd3614152f53eaf@resize_w640_nl</t>
  </si>
  <si>
    <t>REEL POWER HANDLE SPESIAL COLOUR EDITION REEL PANCING LIZARD FORCE MASTER</t>
  </si>
  <si>
    <t>550.000</t>
  </si>
  <si>
    <t>https://down-id.img.susercontent.com/file/id-11134207-7r98z-loulfr05n2h344@resize_w640_nl</t>
  </si>
  <si>
    <t>reel BC Reel Fishing reel Baitcasting reel umpan 7.2:1 high speed max drag 10kg</t>
  </si>
  <si>
    <t>https://down-id.img.susercontent.com/file/96a7663a40b34c9ebfeabdee58575f6d@resize_w640_nl</t>
  </si>
  <si>
    <t>SHIMANO SPINNING COMBO PREMIUM: Paket Lengkap Joran &amp; Reel HT/LC (Rasio 5.2:1) - Ready Pakai untuk Memancing Profesional</t>
  </si>
  <si>
    <t>600.000</t>
  </si>
  <si>
    <t>https://down-id.img.susercontent.com/file/id-11134207-8224t-mi6tidyr8d8j63@resize_w640_nl</t>
  </si>
  <si>
    <t>Gold Sharking NX Series NX2000 NX4000 NX6000 Rel Real Rol Ril Gulungan Reel Pancing Murah Kuat Metal Ratio 4.7:1</t>
  </si>
  <si>
    <t>191.000</t>
  </si>
  <si>
    <t>3.3</t>
  </si>
  <si>
    <t>https://down-id.img.susercontent.com/file/sg-11134201-7rd59-lwy09kul4bxc45@resize_w640_nl</t>
  </si>
  <si>
    <t>Set Pancing Trolling Reel 3.8:1 Gear Ratio Max Drag 25kg Joran Pancing Boat Fishing Rod 2 Bagian 2.1m Super Tangguh Untuk Memancing Di Kapal Pancing Set</t>
  </si>
  <si>
    <t>781.347</t>
  </si>
  <si>
    <t>https://down-id.img.susercontent.com/file/id-11134207-8224v-mhmtlxgfmiv4e6@resize_w640_nl</t>
  </si>
  <si>
    <t>Set Pancing 2 Bagian Joran Pancing 7.2:1 12BB Reel Pancing Fishing Combo Pancing Set</t>
  </si>
  <si>
    <t>365.034</t>
  </si>
  <si>
    <t>https://down-id.img.susercontent.com/file/id-11134207-7r98z-ly68ll1wf02w63@resize_w640_nl</t>
  </si>
  <si>
    <t>2024 NEW reel pancing putar gulungan pancingan fishing reel alat memancing joran pancing reel Lure fishing reel pancing murah</t>
  </si>
  <si>
    <t>250.000</t>
  </si>
  <si>
    <t>https://down-id.img.susercontent.com/file/id-11134207-7rasl-m2qifha48t6rda@resize_w640_nl</t>
  </si>
  <si>
    <t>Fishing Reel Pancing HE1000-7000 Series Drag 30kg Metal Spinning Wheel Fishing Rod Reels</t>
  </si>
  <si>
    <t>169.880</t>
  </si>
  <si>
    <t>https://down-id.img.susercontent.com/file/id-11134207-7qul4-lezsiuxiwjnrea@resize_w640_nl</t>
  </si>
  <si>
    <t>Reel pancing Drag 10kg mini 1000-6000 rell 5.2:1 High Speed Metal Spool Spinning Fishing Reels Outdoor Fishing Tackle REEL PANCING METAL HE SERIES MAX DRAG 10KG 12BB 1000 2000 3000 4000 5000 6000</t>
  </si>
  <si>
    <t>https://down-id.img.susercontent.com/file/sg-11134201-7rd3p-lwy6wkm4h2p51d@resize_w640_nl</t>
  </si>
  <si>
    <t>Sougayilang Reel Pancing 12 + 1BB Fishing Reel Casting Fishing Reel 7.2: 1 Rasio Gigi Max Drag 8Kg Kiri/Kanan Tangan untuk Memancing Air Tawar Pancing</t>
  </si>
  <si>
    <t>450.000</t>
  </si>
  <si>
    <t>https://down-id.img.susercontent.com/file/8592f3cbecce8f0d63b4695e68a3815c@resize_w640_nl</t>
  </si>
  <si>
    <t>Reel Pancing MINI FUGU CATFISH MOA 500 Ultralight Fishing Design By Japan Super Halus</t>
  </si>
  <si>
    <t>https://down-id.img.susercontent.com/file/f1b402cc6c56cfae9170e55eed464414@resize_w640_nl</t>
  </si>
  <si>
    <t>reel pancing besi 20kg max drag CNC handle Alat Gulungan Pancing fishing reel murah reel powerful</t>
  </si>
  <si>
    <t>196.000</t>
  </si>
  <si>
    <t>https://down-id.img.susercontent.com/file/sg-11134201-7rd3p-lwxu2hfa26lle6@resize_w640_nl</t>
  </si>
  <si>
    <t>Sougayilang Set Pancing 1.8m/2.1m Joran Pancing 4BB Memancing Ikan Mas Spinning Reel 4000 Seri Memancing Roda 5.2: 1 Rasio Gigi Carp Fishing Reel Joran Pancing Set</t>
  </si>
  <si>
    <t>189.999</t>
  </si>
  <si>
    <t>https://down-id.img.susercontent.com/file/39975e4d935185ba57a960fd73cd4ff2@resize_w640_nl</t>
  </si>
  <si>
    <t>[Indonesia Spot] Reel reel pancing power handle kenzi fishing reel Spinning Reel PancingTetapkan Penawaran rod casting Reel Spinning Reel daido reel saltwater reel mesin mancing casting Bait-casting Reel</t>
  </si>
  <si>
    <t>298.000</t>
  </si>
  <si>
    <t>https://down-id.img.susercontent.com/file/id-11134207-7r992-lvlgufo0lcdu3a@resize_w640_nl</t>
  </si>
  <si>
    <t>Sougayilang 3000 Reel Joran Pancing 1.8M-2.4M Teleskopik Telescopic Spinning Fishing Combo Portabel Ultralight Rod Dan Gear Ratio 5.2: 1 Kecepatan Tinggi Rasio Gear Fishing Reel Joran Pancing Set</t>
  </si>
  <si>
    <t>https://down-id.img.susercontent.com/file/id-11134207-7quky-lfm8sc4k1kl650@resize_w640_nl</t>
  </si>
  <si>
    <t>Reel pancing asli besi fishing reel 10kg drag 5.2:1 Kincir Logam Berkekuatan Tinggi, Gulungan Pancing Ikan Air Asin gulungan pancing Reel Pancing Metal HE1000 - HE6000</t>
  </si>
  <si>
    <t>https://down-id.img.susercontent.com/file/sg-11134201-7rd6j-lws2stwu6s90d9@resize_w640_nl</t>
  </si>
  <si>
    <t>pancing set 1.8m Fishing Rod Fishing Reel Set Spinning and Fishing Reel With Free Fishing Line lure Set For Freshwater Fishing Pancing combo</t>
  </si>
  <si>
    <t>330.000</t>
  </si>
  <si>
    <t>https://down-id.img.susercontent.com/file/id-11134207-7ra0r-mc1qtbhxu3dtae@resize_w640_nl</t>
  </si>
  <si>
    <t>Indonesia Spot reel pancing logam penuh reel spinning mesin mancing casting fishing reel profesional 12kg FS2000-7000 fishing reel</t>
  </si>
  <si>
    <t>227.700</t>
  </si>
  <si>
    <t>https://down-id.img.susercontent.com/file/sg-11134253-7ra1w-m4j1qi0n5ibo37@resize_w640_nl</t>
  </si>
  <si>
    <t>Sougayilang Set Lengkap Joran Pancing Reel Umpan 1,8m Serat Karbon Joran Pancing Reel 7,2:1 Maksimal Tarikan 10kg</t>
  </si>
  <si>
    <t>560.000</t>
  </si>
  <si>
    <t>https://down-id.img.susercontent.com/file/id-11134207-81zte-mqd23hzwj5s16e@resize_w640_nl</t>
  </si>
  <si>
    <t>Set Pancing Sougayilang &amp; Reel Kombo 2 Warna Serat Karbon 1.8m Tarikan Maksimal 17.64LB Reel Spinning dengan Spul Aluminium Dapat Digunakan untuk Tangan Kiri/Kanan</t>
  </si>
  <si>
    <t>580.000</t>
  </si>
  <si>
    <t>https://down-id.img.susercontent.com/file/id-11134207-8224r-mkj8at4w5nutc2@resize_w640_nl</t>
  </si>
  <si>
    <t>Sougayilang 1.8M / 6FT Pancing dan Gulungan Set Pancing Portabel Pancing dan Aluminium Metal Fishing Reel 1000-5000 Series dengan Line dan Gift Fishing Reel Set</t>
  </si>
  <si>
    <t>https://down-id.img.susercontent.com/file/id-11134207-7rasd-m4ocewur1u3a28@resize_w640_nl</t>
  </si>
  <si>
    <t>Sougayilang Reel Pancing 7.2:1 Gear Ratio Left/Right Baitasting Fishing Reel Max Drag 10kg Fishing Reel For Freshwater Fishing</t>
  </si>
  <si>
    <t>https://down-id.img.susercontent.com/file/sg-11134201-7qveg-lh7elefy19160c@resize_w640_nl</t>
  </si>
  <si>
    <t>MURAH Fishing Set Portabel Carbon Fiber 1.8M 2.1M 2.4M Telescopic Fishing Rod Dan 6.3:1GR 12 + 1BB Fishing Casting Reel Kanan Kiri Menangani Untuk Air Tawar Memancing Set</t>
  </si>
  <si>
    <t>620.000</t>
  </si>
  <si>
    <t>https://down-id.img.susercontent.com/file/2e441236234de8bd1618dbb0592d489a@resize_w640_nl</t>
  </si>
  <si>
    <t>Reel S1000-S7000 15kg Max Drag 5.2:1 Gulungan Memancing Metal Kecepatan Tinggi Laut Rell Pancing Logam Alat Memancing</t>
  </si>
  <si>
    <t>https://down-id.img.susercontent.com/file/id-11134207-7qul4-lgouor89eszn84@resize_w640_nl</t>
  </si>
  <si>
    <t>Reel Pancing Logam S1000~S7000 Alat Pancing Alat Memancing Metal Fishing Spinning Reel</t>
  </si>
  <si>
    <t>https://down-id.img.susercontent.com/file/id-11134201-7rbk6-m9ikfltv5fgy84@resize_w640_nl</t>
  </si>
  <si>
    <t>Sougayilang Trolling Fishing Reel Rasio Gigi 3.8:1 Kecepatan Tinggi, Terbuat dari Logam, Tersedia untuk Penggunaan Tangan Kanan/Kiri, Peralatan Memancing Laut, Gaya Tarik Maksimum 25kg</t>
  </si>
  <si>
    <t>520.000</t>
  </si>
  <si>
    <t>https://down-id.img.susercontent.com/file/sg-11134253-8262h-mk511bbmzev4b8@resize_w640_nl</t>
  </si>
  <si>
    <t>Aquapro -Reel Pancing Spinning Series DM1000 Reel Pancing Putar Rell Rill Pancing Katrol Kerekan Pancing Fishing Reel Spool Metal Aluminium</t>
  </si>
  <si>
    <t>https://down-id.img.susercontent.com/file/id-11134207-7rask-m1pcf81crhyu61@resize_w640_nl</t>
  </si>
  <si>
    <t>Gulungan Pancing Serbaguna Sougayilang Seri 9000-12000, 13+1BB, Rasio Gigi 4.6:1, Gulungan Pancing untuk Memancing Ikan Mas, Memancing di Pantai, dan Memancing Trolling.</t>
  </si>
  <si>
    <t>https://down-id.img.susercontent.com/file/id-11134207-7rasg-m2n84ae7fgj6d3@resize_w640_nl</t>
  </si>
  <si>
    <t>Sougayilang Kualitas Tinggi Trolling Reel 6 + 1BB Model 30 Gulungan Memancing Kiri / Kanan Pilih Untuk Memancing Laut Max Drag 25kg</t>
  </si>
  <si>
    <t>https://down-id.img.susercontent.com/file/id-11134207-7r98x-m02is4e91lgf1d@resize_w640_nl</t>
  </si>
  <si>
    <t>https://down-id.img.susercontent.com/file/id-11134207-7r98w-m02is4e92zgo0c@resize_w640_nl</t>
  </si>
  <si>
    <t>WISIN Power Handle Reel Pancing Spinning Series OER 1500 2500 3500 Ballbearing 5 + 1 BB 5.2:1 Max Drag 12KG Fishing Reel</t>
  </si>
  <si>
    <t>https://down-id.img.susercontent.com/file/id-11134207-822wu-mlg5501g8hs10c@resize_w640_nl</t>
  </si>
  <si>
    <t>Sougayilang joran pancing reel Baitcasting Reel 7.2: 1 Spool Aluminium Anti-korosi Berkecepatan Tinggi 8KG Max Drag Casting Fishing Reel</t>
  </si>
  <si>
    <t>https://down-id.img.susercontent.com/file/sg-11134253-7repb-m90uis4nrpxx2e@resize_w640_nl</t>
  </si>
  <si>
    <t>Baitcasting BC Reel Rell Rill Kecepatan Tinggi Up 8KG Max Drag Pancing Katrol Kerekan Pancing Fishing Reel Spool Gulungan Memancing Pancing BC Reel 6.3:1 Max Drag 8kg Baitcasting Fishing Reel Fishing Rod Pancing BC Reel 6.3:1 Bantalan Bola Sistem 12 + 1BB</t>
  </si>
  <si>
    <t>https://down-id.img.susercontent.com/file/sg-11134201-7rd40-lwy51nb08t5283@resize_w640_nl</t>
  </si>
  <si>
    <t>Sougayilang Reel Pancing New Casting Fishing Reel Gear  Ratio 7.2:1  Fishing Reel  Rill Pancing Rell Pancing Reel  Left And Right Model Silky Fishing Reel Gulungan Pancing</t>
  </si>
  <si>
    <t>https://down-id.img.susercontent.com/file/sg-11134201-23020-ogfgdjq75gnv87@resize_w640_nl</t>
  </si>
  <si>
    <t>AQUASEA - Reel Pancing   VX1000-7000 Gulungan Pancing Kuat Reel Pancing Laut Tarikan Pancing Reel VX</t>
  </si>
  <si>
    <t>329.500</t>
  </si>
  <si>
    <t>https://down-id.img.susercontent.com/file/id-11134207-7rbk6-m7dbnv5n56mc8f@resize_w640_nl</t>
  </si>
  <si>
    <t>SONLINE - Reel Pancing Spinning Laut Full Besi Reel VX1000-7000 Gulungan Pancing Kuat Reel Pancing Laut Tarikan Pancing Reel VX</t>
  </si>
  <si>
    <t>https://down-id.img.susercontent.com/file/id-11134207-7rasb-m2kp1wea6bwk45@resize_w640_nl</t>
  </si>
  <si>
    <t>reel pancing besi 20kg max drag CNC handle Alat Gulungan Pancing fishing reel murah</t>
  </si>
  <si>
    <t>https://down-id.img.susercontent.com/file/88450d902a7acf5f47d9bd08f59c9c1e@resize_w640_nl</t>
  </si>
  <si>
    <t>reel pancing murah  Spinning fishing reel cnc besi handle</t>
  </si>
  <si>
    <t>https://down-id.img.susercontent.com/file/id-11134207-7qula-li5zeikxm7kub1@resize_w640_nl</t>
  </si>
  <si>
    <t>Catchfis -Reel Pancing Spinning Laut Full Besi Reel VX1000-7000 Gulungan Pancing Kuat Reel Pancing Laut Tarikan Pancing Reel VX</t>
  </si>
  <si>
    <t>https://down-id.img.susercontent.com/file/id-11134207-7qula-lj27fisbo9re79@resize_w640_nl</t>
  </si>
  <si>
    <t>WHALE Power Handle Reel Pancing Spinning Series OER 1500 2500 3500 Ballbearing 7 + 1 BB 5.2:1 Max Drag 12KG Fishing Reel</t>
  </si>
  <si>
    <t>320.000</t>
  </si>
  <si>
    <t>https://down-id.img.susercontent.com/file/id-11134207-822wi-mloohlwsk4jn72@resize_w640_nl</t>
  </si>
  <si>
    <t>Aquapro DM6000 Reel Pancing Putar Rell Rill Pancing Katrol Kerekan Pancing Fishing Reel Spool Metal Aluminium</t>
  </si>
  <si>
    <t>255.000</t>
  </si>
  <si>
    <t>https://down-id.img.susercontent.com/file/id-11134207-7r98q-loq9mwo8jtdnde@resize_w640_nl</t>
  </si>
  <si>
    <t>Sougayilang Fishing Reel 9000-12000 Series Surf  Reel Pancing Ultra Halus Kuat Spinning Reel untuk Memancing Ikan Mas Laut Memancing</t>
  </si>
  <si>
    <t>944.855</t>
  </si>
  <si>
    <t>https://down-id.img.susercontent.com/file/id-11134207-7r991-lrwh01x5ne8pb9@resize_w640_nl</t>
  </si>
  <si>
    <t>Aquapro DM3000 Reel Pancing Putar Rell Rill Pancing Katrol Kerekan Pancing Fishing Reel Spool Metal Aluminium</t>
  </si>
  <si>
    <t>225.000</t>
  </si>
  <si>
    <t>https://down-id.img.susercontent.com/file/id-11134207-7r98p-loqaa2ynfn612f@resize_w640_nl</t>
  </si>
  <si>
    <t>Aquapro DM5000 Reel Pancing Putar Rell Rill Pancing Katrol Kerekan Pancing Fishing Reel Spool Metal Aluminium</t>
  </si>
  <si>
    <t>245.000</t>
  </si>
  <si>
    <t>https://down-id.img.susercontent.com/file/id-11134207-7rbka-m66hakt8eyom6a@resize_w640_nl</t>
  </si>
  <si>
    <t>reel pancing 21kg max drag reel murah besi fishing reel murah besi CNC handle</t>
  </si>
  <si>
    <t>https://down-id.img.susercontent.com/file/id-11134207-7qul2-lhao6d1qovl7ef@resize_w640_nl</t>
  </si>
  <si>
    <t>DAIWA Fishing Reel Spinning Reel  drag 5.2:1 Kincir Logam Berkekuatan Tinggi Gulungan Pancing Ikan Air Asin gulungan pancing</t>
  </si>
  <si>
    <t>https://down-id.img.susercontent.com/file/id-11134207-822wq-mnqworbuafpg24@resize_w640_nl</t>
  </si>
  <si>
    <t>223.704</t>
  </si>
  <si>
    <t>https://down-id.img.susercontent.com/file/sg-11134201-7rd3m-lwwkh54mmjka72@resize_w640_nl</t>
  </si>
  <si>
    <t>Sougayilang 1000-4000 Series Reel Pancing 12Ball Bearing Spinning Fishing Reel untuk Memancing di Air Asin</t>
  </si>
  <si>
    <t>https://down-id.img.susercontent.com/file/b058ab238766841286eada4e2ee2cb14@resize_w640_nl</t>
  </si>
  <si>
    <t>reel pancing Drag 10kg mini 500-7000 rell 5.2:1 High Speed Metal Spool Spinning Fishing Reels Outdoor Fishing Tackle</t>
  </si>
  <si>
    <t>228.000</t>
  </si>
  <si>
    <t>https://down-id.img.susercontent.com/file/bcfa2bfcc70f8294d8c98df40e266d93@resize_w640_nl</t>
  </si>
  <si>
    <t>set alat pancing lengkap reel pancing metal he1000-5000 series max drag 10kg 12BB /1 set pancing reel joran pancing carbon fiber sea fishing rod 2.1-3.6m</t>
  </si>
  <si>
    <t>124.000</t>
  </si>
  <si>
    <t>https://down-id.img.susercontent.com/file/sg-11134201-7rd4j-lwzf3bl56zqed0@resize_w640_nl</t>
  </si>
  <si>
    <t>Aquapro DM4000 Reel Pancing Putar Rell Rill Pancing Katrol Kerekan Pancing Fishing Reel Spool Metal Aluminium</t>
  </si>
  <si>
    <t>235.000</t>
  </si>
  <si>
    <t>https://down-id.img.susercontent.com/file/id-11134207-7r98x-loul1ryvks1762@resize_w640_nl</t>
  </si>
  <si>
    <t>Sougayilang 1000-4000 Gulungan Memancing Berputar Max Drag 20KG 5.2: 1 Gear Ratio Super Lightweight Fishing Reel Dengan Sistem Pengereman Halus CNC Aluminium Spool Untuk Air Tawar Saltwate</t>
  </si>
  <si>
    <t>260.000</t>
  </si>
  <si>
    <t>https://down-id.img.susercontent.com/file/id-11134207-82250-mhbf1aitsmx775@resize_w640_nl</t>
  </si>
  <si>
    <t>Sougayilang joran pancing reel Spinning Reel 4BB 5.2: 1 Gear Ratio 4000 Series Fishing Reel Alat Pancing Roda Ikan Mas Super Kuat</t>
  </si>
  <si>
    <t>https://down-id.img.susercontent.com/file/sg-11134201-7rbk0-ll237y6366p326@resize_w640_nl</t>
  </si>
  <si>
    <t>Sougayilang Joran Pancing Set 1.8m  Karbon padat Reel Pancing with senar pancing Rell Max Drag 15kg</t>
  </si>
  <si>
    <t>https://down-id.img.susercontent.com/file/id-11134207-8224s-ml4e0f0m7dvq07@resize_w640_nl</t>
  </si>
  <si>
    <t>Reel Pancing 12BB Rasio Gear 5.2: 1 Metal Fishing reel Max Drag 10kg Reel Pancing</t>
  </si>
  <si>
    <t>272.000</t>
  </si>
  <si>
    <t>https://down-id.img.susercontent.com/file/id-11134207-7r98t-lyfy5k883avyf5@resize_w640_nl</t>
  </si>
  <si>
    <t>Reel Pancing Pegasus GAZER Sw  1000-4000 (Power Handle)</t>
  </si>
  <si>
    <t>510.000</t>
  </si>
  <si>
    <t>https://down-id.img.susercontent.com/file/id-11134207-822wg-mlbr99kyxp8k80@resize_w640_nl</t>
  </si>
  <si>
    <t>Sougayilang Drum Fishing Reel Trolling Fishing Reel Maximum Drag Force 25Kg  Spinning Fishing Reel Right Hand Type Fishing Reel Drum for Saltwater Boat Fishing  Outdoor Fishing Fishing Tackle</t>
  </si>
  <si>
    <t>512.500</t>
  </si>
  <si>
    <t>https://down-id.img.susercontent.com/file/id-11134207-7ra0o-mc1i25wceae7b8@resize_w640_nl</t>
  </si>
  <si>
    <t>Pancingan Set Outdoor Lengkap 2 Bagian Reel Spinning 1000-7000 Metal Power Handle 5.2:1 Ringan Kuat Siap Pakai Murah</t>
  </si>
  <si>
    <t>750.000</t>
  </si>
  <si>
    <t>https://down-id.img.susercontent.com/file/id-11134207-81ztc-mqhhhop5v11p1c@resize_w640_nl</t>
  </si>
  <si>
    <t>[COD] DAIWA reel Pancing Spinning Reel fishing reel Mesin Pancing Rod mesin casting Reel Pancing Murah Kuat  HE1000-7000 10 Kg Klasifikasi Rasio kecepatan5.2:1 Spinning Reel</t>
  </si>
  <si>
    <t>https://down-id.img.susercontent.com/file/id-11134207-822wr-mmbi04bva4g5c1@resize_w640_nl</t>
  </si>
  <si>
    <t>reel pancing besi reel HE 500-7000 Max Drag reel pancing murah spinning wheel ril pancing promo cuci gudang metal fishing</t>
  </si>
  <si>
    <t>https://down-id.img.susercontent.com/file/id-11134207-7r98v-lxjv6js8sl1p19@resize_w640_nl</t>
  </si>
  <si>
    <t>reel pancing HE500-HE7000 spinning Fishing CNC metal handle 5.2:1 10kg besi air asin powerful</t>
  </si>
  <si>
    <t>https://down-id.img.susercontent.com/file/f16212945516ea9ceeded475601bf1c3@resize_w640_nl</t>
  </si>
  <si>
    <t>Bingolife Set Pancing Reel Pancing Penggulung 18+1BB 8.1:1 Gear Ratio Fishing Reel Untuk Memancing Ikan Air Laut</t>
  </si>
  <si>
    <t>https://down-id.img.susercontent.com/file/sg-11134201-22100-m5mei87dqvivba@resize_w640_nl</t>
  </si>
  <si>
    <t>Sougayilang Baru Baitcasting Fishing Reel 19 + 1BB EVA Menangani Warna-warni Casting Fishing Reel Pancing untuk Memancing Air Tawar</t>
  </si>
  <si>
    <t>498.262</t>
  </si>
  <si>
    <t>https://down-id.img.susercontent.com/file/893f2d7a59b0f961e0a4dcadbdd66256@resize_w640_nl</t>
  </si>
  <si>
    <t>Baitcasting Reel 18+1BB 10kg Max Drag 7.2:1 tangan kiri gulungan pancing wire cup</t>
  </si>
  <si>
    <t>378.000</t>
  </si>
  <si>
    <t>https://down-id.img.susercontent.com/file/id-11134207-7r98t-lmlx6vro8osuda@resize_w640_nl</t>
  </si>
  <si>
    <t>Baitcasting Reel kiri murah reel bc tangan kiri 10kg max drag 18+1BB reel pancing 7.2:1 new</t>
  </si>
  <si>
    <t>258.000</t>
  </si>
  <si>
    <t>https://down-id.img.susercontent.com/file/id-11134207-7rask-m0sg2252qkv4a8@resize_w640_nl</t>
  </si>
  <si>
    <t>Reel BC Casting Mini 18+1 Stainless Steel BB 7.2:1 High Speed Max Drag 15KG EVA Power Handle Anti Karat Untuk Mancing Lure Pemula READY STOCK COD</t>
  </si>
  <si>
    <t>https://down-id.img.susercontent.com/file/id-11134207-7ra0q-mcsmbjkeda937e@resize_w640_nl</t>
  </si>
  <si>
    <t>https://down-id.img.susercontent.com/file/sg-11134201-7rd52-lwy6py99bjd67a@resize_w640_nl</t>
  </si>
  <si>
    <t>【COD】NEW daiwa reel pancing asli besi fishing reel 10kg Reel Pancing asli besi fishing reel 10kg drag 5.2:1 Kincir Logam Berkekuatan Tinggi, Gulungan Pancing reel pancing alat pancing asli besi fishing reel 10kg drag 5.2:1 Kincir Logam Berkekuatan Tinggi</t>
  </si>
  <si>
    <t>214.000</t>
  </si>
  <si>
    <t>https://down-id.img.susercontent.com/file/sg-11134201-7rd3o-lwwko5ffeye7ff@resize_w640_nl</t>
  </si>
  <si>
    <t>Baitcasting Reel kiri reel bc 10kg drag CNC spool fishing reel Murah kiri handle</t>
  </si>
  <si>
    <t>268.000</t>
  </si>
  <si>
    <t>https://down-id.img.susercontent.com/file/7eea44d4263955077abbae4891951930@resize_w640_nl</t>
  </si>
  <si>
    <t>Spinning Fishing Reel Aluminium Spool Bahan Logam Spinning Reel 12 Ball Bearings 5.2:1 Rasio Roda Gigi Kanan Kiri Pegangan Inter-changeable Air Asin Gulungan Memancing Air Tawar Gear Tackle Luar Ruangan</t>
  </si>
  <si>
    <t>https://down-id.img.susercontent.com/file/70eff6efe6bc9f6f503ae29d0ae94485@resize_w640_nl</t>
  </si>
  <si>
    <t>Reel Pancing Laut Murah BA HE HB SC Fishing Reel 30Kg Max Drag Power Reel Pancingan 12BB/13BB Reel Metal Reel Pancing mini Reel Murah Reel Pancing</t>
  </si>
  <si>
    <t>https://down-id.img.susercontent.com/file/sg-11134201-7rd6l-lx0wvjlhtea2ef@resize_w640_nl</t>
  </si>
  <si>
    <t>Sougayilang 12 + 1 BB Baitcasting Fishing Reel Black Fishing Reel Gear Casting</t>
  </si>
  <si>
    <t>https://down-id.img.susercontent.com/file/517d7d12d5d45f8dfa3b1e1ca2c7f368@resize_w640_nl</t>
  </si>
  <si>
    <t>Aquapro Reel Pancing Putar Rell Rill Pancing Katrol Kerekan Pancing Fishing Spool Metal Aluminium</t>
  </si>
  <si>
    <t>246.500</t>
  </si>
  <si>
    <t>https://down-id.img.susercontent.com/file/id-11134207-7rasg-m5e03opg6kuu7b@resize_w640_nl</t>
  </si>
  <si>
    <t>Paket Set Telescopic Fishing Rod 5 Sections Carbon Fiber 2.1m-3.6m  and Fishing Spinning Reel 13 Bearing Reel BA1000-BA6000</t>
  </si>
  <si>
    <t>https://down-id.img.susercontent.com/file/sg-11134201-7rd57-lwxpc91a7r0q5f@resize_w640_nl</t>
  </si>
  <si>
    <t>Baitcasting Reel reel pancing AC reel 7.2:1 AC2000 Kecepatan Tinggi up to 10KG Max Drag Laut Memancing untuk Bass Di Lingkungan Laut Reel</t>
  </si>
  <si>
    <t>261.998</t>
  </si>
  <si>
    <t>https://down-id.img.susercontent.com/file/sg-11134201-7rd5k-lwzhv5fs110md6@resize_w640_nl</t>
  </si>
  <si>
    <t>Ril pancing murah Gold Sharking LK Series LK2000 LK5000 LK7000 Gulungan Rel Ril Reel Pancing Murah Spinning 5.2:1 Bearing 13 alat pancing rell pancing</t>
  </si>
  <si>
    <t>198.998</t>
  </si>
  <si>
    <t>https://down-id.img.susercontent.com/file/8073ce35146d20094db1b8280e509071@resize_w640_nl</t>
  </si>
  <si>
    <t>reel bc Baitcasting Reel tangan kiri7.2:1 Fishing Reel up to 10KG Max Drag Saltwater Reel Fishing</t>
  </si>
  <si>
    <t>278.000</t>
  </si>
  <si>
    <t>https://down-id.img.susercontent.com/file/id-11134207-7rbk6-ma76jdzadq5129@resize_w640_nl</t>
  </si>
  <si>
    <t>reel pancing besi  Rasio: 5.2: 1/4.7: 1 CNC Matel handle 21kg max drag  Pancing fishing reel murah</t>
  </si>
  <si>
    <t>https://down-id.img.susercontent.com/file/id-11134207-7qul8-lhbmqvp7fobv51@resize_w640_nl</t>
  </si>
  <si>
    <t>Sougayilang Gaya Baru Baitcasting Reel Pancing 7.2: 1 Rasio Gear Fishing Reel Kiri/Kanan Tangan untuk Outdoor Fishing</t>
  </si>
  <si>
    <t>https://down-id.img.susercontent.com/file/4c2c665e8b25abb73ad4936c1f8cfa17@resize_w640_nl</t>
  </si>
  <si>
    <t>reel pancing fishing reel murah CNC Metal handle beis</t>
  </si>
  <si>
    <t>https://down-id.img.susercontent.com/file/id-11134207-7qul7-li5tes1j1n4nc0@resize_w640_nl</t>
  </si>
  <si>
    <t>reel pancing 10 kg drag asli fishing reel 13 BB Gold sharking 2000 3000 5000 7000 seri murah</t>
  </si>
  <si>
    <t>https://down-id.img.susercontent.com/file/3e7d9f4d7cfb9945baeab15780e62505@resize_w640_nl</t>
  </si>
  <si>
    <t>reel pancing 13BB fishing reel 10 kg drag asli fishing reel Gold sharking LK seri murah</t>
  </si>
  <si>
    <t>https://down-id.img.susercontent.com/file/fac8b04c1fa3b55855288d49c66ab929@resize_w640_nl</t>
  </si>
  <si>
    <t>Reel Pancing LK Putar Rell Rill Pancing Katrol Kerekan Pancing Fishing Reel Spool Metal Aluminium</t>
  </si>
  <si>
    <t>https://down-id.img.susercontent.com/file/sg-11134201-7rd3u-lx0weo90lf0o19@resize_w640_nl</t>
  </si>
  <si>
    <t>Reel Pancing Pancing Baitcasting 18+1BB Rasio 7.2: 1 Gulungan Pancing Untuk Air Tawar / Laut Fishing Reel</t>
  </si>
  <si>
    <t>357.000</t>
  </si>
  <si>
    <t>https://down-id.img.susercontent.com/file/id-11134207-7r98p-ly67pdljessl80@resize_w640_nl</t>
  </si>
  <si>
    <t>REEL PANCING METAL NX 14BB 1000 2000 3000 4000 6000 MAX DRAG 15KG reel pancing murah kuat fishing reel laut kuat 20 kg Kursi goyang besi</t>
  </si>
  <si>
    <t>https://down-id.img.susercontent.com/file/id-11134207-7ra0g-mdo402dthceq23@resize_w640_nl</t>
  </si>
  <si>
    <t>Sougayilang 1000-5000 Series Spinning Fishing Reel dengan Gratis Spool Cup 12 + 1BB Max Drag 30KG Super Strong Fishing Reel</t>
  </si>
  <si>
    <t>545.042</t>
  </si>
  <si>
    <t>https://down-id.img.susercontent.com/file/a43eaf99ea6b99d03c04bb5b177da938@resize_w640_nl</t>
  </si>
  <si>
    <t>Sougayilang Fishing Reel 1000-5000 Size 5.2:1 Gear Ratio 12+1Ball Bearings Spinning Fishing Reel For Outdoors Fishing</t>
  </si>
  <si>
    <t>https://down-id.img.susercontent.com/file/ph-11134201-23030-l7ifb1upxjov30@resize_w640_nl</t>
  </si>
  <si>
    <t>Baitcasting Reel 18+1BB Max Drag 10KG One-way bearing 7.2:1 Saltwater reel pancing fishing reel</t>
  </si>
  <si>
    <t>https://down-id.img.susercontent.com/file/2e49a663fd25be75517101792d23ca2d@resize_w640_nl</t>
  </si>
  <si>
    <t>reel pancing Spinning Reel 1000-7000 Series Fishing Reel 17KG Max Drag Metal Spool Freshwater Saltwater Tackle Carp Fishing Accessories</t>
  </si>
  <si>
    <t>316.000</t>
  </si>
  <si>
    <t>https://down-id.img.susercontent.com/file/300fa74d3a863ffd953912f35033e9e0@resize_w640_nl</t>
  </si>
  <si>
    <t>Reel pancing 7.2:1 Gear Ratio 18+1 Ball Bearing Max Drag 20LB Gulungan Pancing For Casting Joran Pancing Fishing Reel</t>
  </si>
  <si>
    <t>https://down-id.img.susercontent.com/file/id-11134207-7ra0n-mdqv7apf8p1n03@resize_w640_nl</t>
  </si>
  <si>
    <t>Reel Pancing Bait Casting Water Drop Wheel Jarak Jauh Anti Meledak Garis All-Metal Wire Cup Fishing Road Wheel Kerekan Pancing Fishing Reel Spool Material Yang Berkualitas Tinggi</t>
  </si>
  <si>
    <t>650.000</t>
  </si>
  <si>
    <t>https://down-id.img.susercontent.com/file/id-11134207-7r98x-loul1ryvhywb1a@resize_w640_nl</t>
  </si>
  <si>
    <t>PENJUALAN</t>
  </si>
  <si>
    <t>TERJUAL</t>
  </si>
  <si>
    <t>TIDAK ADA DISKON</t>
  </si>
  <si>
    <t>2,0</t>
  </si>
  <si>
    <t>DI BAWAH 50%</t>
  </si>
  <si>
    <t>2,7</t>
  </si>
  <si>
    <t>TIDAK KURANG DARI 50%</t>
  </si>
  <si>
    <t>3,2</t>
  </si>
  <si>
    <t>3,3</t>
  </si>
  <si>
    <t>3,5</t>
  </si>
  <si>
    <t>3,7</t>
  </si>
  <si>
    <t>3,9</t>
  </si>
  <si>
    <t>4,0</t>
  </si>
  <si>
    <t>4,1</t>
  </si>
  <si>
    <t>4,2</t>
  </si>
  <si>
    <t>4,3</t>
  </si>
  <si>
    <t>4,4</t>
  </si>
  <si>
    <t>4,5</t>
  </si>
  <si>
    <t>4,6</t>
  </si>
  <si>
    <t>4,7</t>
  </si>
  <si>
    <t>4,8</t>
  </si>
  <si>
    <t>4,9</t>
  </si>
  <si>
    <t>5,0</t>
  </si>
  <si>
    <t>Kolom 3</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</si>
</sst>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sz val="12.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49" xfId="0" applyAlignment="1" applyFont="1" applyNumberFormat="1">
      <alignment shrinkToFit="0" vertical="center" wrapText="0"/>
    </xf>
    <xf borderId="0" fillId="0" fontId="2" numFmtId="0" xfId="0" applyFont="1"/>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3" xfId="0" applyAlignment="1" applyFont="1" applyNumberFormat="1">
      <alignment readingOrder="0" shrinkToFit="0" vertical="center" wrapText="0"/>
    </xf>
    <xf borderId="0" fillId="0" fontId="2" numFmtId="0" xfId="0" applyAlignment="1" applyFont="1">
      <alignment shrinkToFit="0" vertical="center" wrapText="0"/>
    </xf>
    <xf borderId="0" fillId="0" fontId="2" numFmtId="3" xfId="0" applyAlignment="1" applyFont="1" applyNumberFormat="1">
      <alignment shrinkToFit="0" vertical="center" wrapText="0"/>
    </xf>
    <xf borderId="0" fillId="0" fontId="1" numFmtId="49" xfId="0" applyAlignment="1" applyFont="1" applyNumberForma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Sheet2-style">
      <tableStyleElement dxfId="1" type="headerRow"/>
      <tableStyleElement dxfId="2" type="firstRowStripe"/>
      <tableStyleElement dxfId="3" type="secondRowStripe"/>
      <tableStyleElement dxfId="4" size="0" type="wholeTable"/>
    </tableStyle>
    <tableStyle count="4" pivot="0" name="Sheet2-style 2">
      <tableStyleElement dxfId="1" type="headerRow"/>
      <tableStyleElement dxfId="2" type="firstRowStripe"/>
      <tableStyleElement dxfId="3" type="secondRowStripe"/>
      <tableStyleElement dxfId="4" size="0" type="wholeTable"/>
    </tableStyle>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GRAFIK RATING DAN JUMLAH TERJUAL</a:t>
            </a:r>
          </a:p>
        </c:rich>
      </c:tx>
      <c:overlay val="0"/>
    </c:title>
    <c:plotArea>
      <c:layout/>
      <c:lineChart>
        <c:varyColors val="0"/>
        <c:ser>
          <c:idx val="0"/>
          <c:order val="0"/>
          <c:tx>
            <c:strRef>
              <c:f>Sheet1!$F$620</c:f>
            </c:strRef>
          </c:tx>
          <c:spPr>
            <a:ln cmpd="sng">
              <a:solidFill>
                <a:srgbClr val="4F81BD"/>
              </a:solidFill>
            </a:ln>
          </c:spPr>
          <c:marker>
            <c:symbol val="none"/>
          </c:marker>
          <c:cat>
            <c:strRef>
              <c:f>Sheet1!$E$621:$E$638</c:f>
            </c:strRef>
          </c:cat>
          <c:val>
            <c:numRef>
              <c:f>Sheet1!$F$621:$F$638</c:f>
              <c:numCache/>
            </c:numRef>
          </c:val>
          <c:smooth val="0"/>
        </c:ser>
        <c:axId val="929508047"/>
        <c:axId val="660998155"/>
      </c:lineChart>
      <c:catAx>
        <c:axId val="9295080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60998155"/>
      </c:catAx>
      <c:valAx>
        <c:axId val="6609981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JUMLAH TERJUAL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2950804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DIAGRAM DISKON DAN PENJUALAN</a:t>
            </a:r>
          </a:p>
        </c:rich>
      </c:tx>
      <c:overlay val="0"/>
    </c:title>
    <c:plotArea>
      <c:layout/>
      <c:barChart>
        <c:barDir val="col"/>
        <c:ser>
          <c:idx val="0"/>
          <c:order val="0"/>
          <c:tx>
            <c:strRef>
              <c:f>Sheet1!$I$619</c:f>
            </c:strRef>
          </c:tx>
          <c:spPr>
            <a:solidFill>
              <a:schemeClr val="accent1"/>
            </a:solidFill>
            <a:ln cmpd="sng">
              <a:noFill/>
            </a:ln>
          </c:spPr>
          <c:invertIfNegative val="0"/>
          <c:cat>
            <c:strRef>
              <c:f>Sheet1!$H$620:$H$622</c:f>
            </c:strRef>
          </c:cat>
          <c:val>
            <c:numRef>
              <c:f>Sheet1!$I$620:$I$622</c:f>
              <c:numCache/>
            </c:numRef>
          </c:val>
        </c:ser>
        <c:axId val="1304699700"/>
        <c:axId val="1460748391"/>
      </c:barChart>
      <c:catAx>
        <c:axId val="13046997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DISKON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60748391"/>
      </c:catAx>
      <c:valAx>
        <c:axId val="14607483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PENJUALAN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0469970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chart" Target="../charts/chart1.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638</xdr:row>
      <xdr:rowOff>28575</xdr:rowOff>
    </xdr:from>
    <xdr:ext cx="7629525" cy="4714875"/>
    <xdr:pic>
      <xdr:nvPicPr>
        <xdr:cNvPr id="511001408" name="Chart1" title="Diagra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7629525</xdr:colOff>
      <xdr:row>638</xdr:row>
      <xdr:rowOff>28575</xdr:rowOff>
    </xdr:from>
    <xdr:ext cx="7629525" cy="4714875"/>
    <xdr:pic>
      <xdr:nvPicPr>
        <xdr:cNvPr id="161464493" name="Chart2" title="Diagram">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809625</xdr:colOff>
      <xdr:row>638</xdr:row>
      <xdr:rowOff>28575</xdr:rowOff>
    </xdr:from>
    <xdr:ext cx="5715000" cy="3533775"/>
    <xdr:graphicFrame>
      <xdr:nvGraphicFramePr>
        <xdr:cNvPr id="1738817021" name="Chart 3" title="Diagram"/>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1304925</xdr:colOff>
      <xdr:row>622</xdr:row>
      <xdr:rowOff>133350</xdr:rowOff>
    </xdr:from>
    <xdr:ext cx="5715000" cy="3533775"/>
    <xdr:graphicFrame>
      <xdr:nvGraphicFramePr>
        <xdr:cNvPr id="392798740" name="Chart 4" title="Diagram"/>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009" displayName="Tabel1" name="Tabel1" id="3">
  <tableColumns count="11">
    <tableColumn name="REEL PANCING" id="1"/>
    <tableColumn name="HARGA" id="2"/>
    <tableColumn name="HARGA SEBELUM DISKON" id="3"/>
    <tableColumn name="DISKON" id="4"/>
    <tableColumn name="JUMLAH TERJUAL" id="5"/>
    <tableColumn name="RATING" id="6"/>
    <tableColumn name="ALAMAT" id="7"/>
    <tableColumn name="GAMBAR" id="8"/>
    <tableColumn name="Kolom 1" id="9"/>
    <tableColumn name="Kolom 2" id="10"/>
    <tableColumn name="Kolom 3" id="11"/>
  </tableColumns>
  <tableStyleInfo name="Sheet1-style" showColumnStripes="0" showFirstColumn="1" showLastColumn="1" showRowStripes="1"/>
</table>
</file>

<file path=xl/tables/table2.xml><?xml version="1.0" encoding="utf-8"?>
<table xmlns="http://schemas.openxmlformats.org/spreadsheetml/2006/main" ref="A1:I1009" displayName="Tabel2" name="Tabel2" id="1">
  <tableColumns count="9">
    <tableColumn name="REEL PANCING" id="1"/>
    <tableColumn name="HARGA" id="2"/>
    <tableColumn name="HARGA SEBELUM DISKON" id="3"/>
    <tableColumn name="DISKON" id="4"/>
    <tableColumn name="JUMLAH TERJUAL" id="5"/>
    <tableColumn name="RATING" id="6"/>
    <tableColumn name="ALAMAT" id="7"/>
    <tableColumn name="GAMBAR" id="8"/>
    <tableColumn name="Kolom 1" id="9"/>
  </tableColumns>
  <tableStyleInfo name="Sheet2-style" showColumnStripes="0" showFirstColumn="1" showLastColumn="1" showRowStripes="1"/>
</table>
</file>

<file path=xl/tables/table3.xml><?xml version="1.0" encoding="utf-8"?>
<table xmlns="http://schemas.openxmlformats.org/spreadsheetml/2006/main" ref="K1:M1009" displayName="Tabel3" name="Tabel3" id="2">
  <autoFilter ref="$K$1:$M$1009"/>
  <tableColumns count="3">
    <tableColumn name="ALAMAT" id="1"/>
    <tableColumn name="Kolom 2" id="2"/>
    <tableColumn name="Kolom 1" id="3"/>
  </tableColumns>
  <tableStyleInfo name="Sheet2-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93.78"/>
    <col customWidth="1" min="3" max="3" width="23.33"/>
    <col customWidth="1" min="5" max="5" width="17.56"/>
    <col customWidth="1" min="7" max="7" width="15.44"/>
    <col customWidth="1" min="8" max="8" width="33.44"/>
  </cols>
  <sheetData>
    <row r="1" ht="22.5" customHeight="1">
      <c r="A1" s="1" t="s">
        <v>0</v>
      </c>
      <c r="B1" s="1" t="s">
        <v>1</v>
      </c>
      <c r="C1" s="1" t="s">
        <v>2</v>
      </c>
      <c r="D1" s="2" t="s">
        <v>3</v>
      </c>
      <c r="E1" s="2" t="s">
        <v>4</v>
      </c>
      <c r="F1" s="1" t="s">
        <v>5</v>
      </c>
      <c r="G1" s="1" t="s">
        <v>6</v>
      </c>
      <c r="H1" s="1" t="s">
        <v>7</v>
      </c>
      <c r="I1" s="3" t="s">
        <v>8</v>
      </c>
      <c r="J1" s="3" t="s">
        <v>9</v>
      </c>
      <c r="K1" s="3" t="s">
        <v>1480</v>
      </c>
    </row>
    <row r="2" ht="22.5" customHeight="1">
      <c r="A2" s="4" t="s">
        <v>1160</v>
      </c>
      <c r="B2" s="5">
        <v>19301.0</v>
      </c>
      <c r="C2" s="17"/>
      <c r="D2" s="6">
        <v>-0.43</v>
      </c>
      <c r="E2" s="5">
        <v>101.0</v>
      </c>
      <c r="F2" s="4" t="s">
        <v>79</v>
      </c>
      <c r="G2" s="4" t="s">
        <v>66</v>
      </c>
      <c r="H2" s="4" t="s">
        <v>1162</v>
      </c>
      <c r="I2" s="7"/>
      <c r="J2" s="7"/>
      <c r="K2" s="7"/>
    </row>
    <row r="3" ht="22.5" customHeight="1">
      <c r="A3" s="4" t="s">
        <v>568</v>
      </c>
      <c r="B3" s="5">
        <v>19500.0</v>
      </c>
      <c r="C3" s="4" t="s">
        <v>11</v>
      </c>
      <c r="D3" s="6" t="s">
        <v>11</v>
      </c>
      <c r="E3" s="5">
        <v>8.0</v>
      </c>
      <c r="F3" s="4" t="s">
        <v>569</v>
      </c>
      <c r="G3" s="4" t="s">
        <v>16</v>
      </c>
      <c r="H3" s="4" t="s">
        <v>570</v>
      </c>
      <c r="I3" s="7"/>
      <c r="J3" s="7"/>
      <c r="K3" s="7"/>
    </row>
    <row r="4" ht="22.5" customHeight="1">
      <c r="A4" s="4" t="s">
        <v>571</v>
      </c>
      <c r="B4" s="5">
        <v>31500.0</v>
      </c>
      <c r="C4" s="4" t="s">
        <v>11</v>
      </c>
      <c r="D4" s="6" t="s">
        <v>11</v>
      </c>
      <c r="E4" s="5">
        <v>8.0</v>
      </c>
      <c r="F4" s="4" t="s">
        <v>569</v>
      </c>
      <c r="G4" s="4" t="s">
        <v>66</v>
      </c>
      <c r="H4" s="4" t="s">
        <v>572</v>
      </c>
      <c r="I4" s="7"/>
      <c r="J4" s="7"/>
      <c r="K4" s="7"/>
    </row>
    <row r="5" ht="22.5" customHeight="1">
      <c r="A5" s="4" t="s">
        <v>113</v>
      </c>
      <c r="B5" s="5">
        <v>34410.0</v>
      </c>
      <c r="C5" s="4" t="s">
        <v>11</v>
      </c>
      <c r="D5" s="6" t="s">
        <v>11</v>
      </c>
      <c r="E5" s="5">
        <v>7.0</v>
      </c>
      <c r="F5" s="4" t="s">
        <v>114</v>
      </c>
      <c r="G5" s="4" t="s">
        <v>115</v>
      </c>
      <c r="H5" s="4" t="s">
        <v>116</v>
      </c>
      <c r="I5" s="7"/>
      <c r="J5" s="8" t="s">
        <v>117</v>
      </c>
      <c r="K5" s="7">
        <v>4.0</v>
      </c>
    </row>
    <row r="6" ht="22.5" customHeight="1">
      <c r="A6" s="4" t="s">
        <v>438</v>
      </c>
      <c r="B6" s="5">
        <v>35000.0</v>
      </c>
      <c r="C6" s="4" t="s">
        <v>11</v>
      </c>
      <c r="D6" s="6" t="s">
        <v>11</v>
      </c>
      <c r="E6" s="6" t="s">
        <v>11</v>
      </c>
      <c r="F6" s="4" t="s">
        <v>439</v>
      </c>
      <c r="G6" s="4" t="s">
        <v>115</v>
      </c>
      <c r="H6" s="4" t="s">
        <v>440</v>
      </c>
      <c r="I6" s="7"/>
      <c r="J6" s="7"/>
      <c r="K6" s="7"/>
    </row>
    <row r="7" ht="22.5" customHeight="1">
      <c r="A7" s="4" t="s">
        <v>573</v>
      </c>
      <c r="B7" s="5">
        <v>35000.0</v>
      </c>
      <c r="C7" s="4" t="s">
        <v>11</v>
      </c>
      <c r="D7" s="6" t="s">
        <v>11</v>
      </c>
      <c r="E7" s="5">
        <v>2.0</v>
      </c>
      <c r="F7" s="4" t="s">
        <v>569</v>
      </c>
      <c r="G7" s="4" t="s">
        <v>27</v>
      </c>
      <c r="H7" s="4" t="s">
        <v>574</v>
      </c>
      <c r="I7" s="7"/>
      <c r="J7" s="7"/>
      <c r="K7" s="7"/>
    </row>
    <row r="8" ht="22.5" customHeight="1">
      <c r="A8" s="4" t="s">
        <v>575</v>
      </c>
      <c r="B8" s="5">
        <v>37000.0</v>
      </c>
      <c r="C8" s="4" t="s">
        <v>11</v>
      </c>
      <c r="D8" s="6" t="s">
        <v>11</v>
      </c>
      <c r="E8" s="5">
        <v>8.0</v>
      </c>
      <c r="F8" s="4" t="s">
        <v>569</v>
      </c>
      <c r="G8" s="4" t="s">
        <v>49</v>
      </c>
      <c r="H8" s="4" t="s">
        <v>576</v>
      </c>
      <c r="I8" s="7"/>
      <c r="J8" s="7"/>
      <c r="K8" s="7"/>
    </row>
    <row r="9" ht="22.5" customHeight="1">
      <c r="A9" s="4" t="s">
        <v>1317</v>
      </c>
      <c r="B9" s="5">
        <v>39900.0</v>
      </c>
      <c r="C9" s="4" t="s">
        <v>1318</v>
      </c>
      <c r="D9" s="6">
        <v>-0.51</v>
      </c>
      <c r="E9" s="5">
        <v>6000.0</v>
      </c>
      <c r="F9" s="4" t="s">
        <v>198</v>
      </c>
      <c r="G9" s="4" t="s">
        <v>49</v>
      </c>
      <c r="H9" s="4" t="s">
        <v>1319</v>
      </c>
      <c r="I9" s="7"/>
      <c r="J9" s="7"/>
      <c r="K9" s="7"/>
    </row>
    <row r="10" ht="22.5" customHeight="1">
      <c r="A10" s="4" t="s">
        <v>1409</v>
      </c>
      <c r="B10" s="5">
        <v>39900.0</v>
      </c>
      <c r="C10" s="4" t="s">
        <v>1185</v>
      </c>
      <c r="D10" s="6">
        <v>-0.6</v>
      </c>
      <c r="E10" s="5">
        <v>238.0</v>
      </c>
      <c r="F10" s="4" t="s">
        <v>198</v>
      </c>
      <c r="G10" s="4" t="s">
        <v>66</v>
      </c>
      <c r="H10" s="4" t="s">
        <v>1410</v>
      </c>
      <c r="I10" s="7"/>
      <c r="J10" s="7"/>
      <c r="K10" s="7"/>
    </row>
    <row r="11" ht="22.5" customHeight="1">
      <c r="A11" s="4" t="s">
        <v>197</v>
      </c>
      <c r="B11" s="5">
        <v>40000.0</v>
      </c>
      <c r="C11" s="4" t="s">
        <v>11</v>
      </c>
      <c r="D11" s="6" t="s">
        <v>11</v>
      </c>
      <c r="E11" s="5">
        <v>39.0</v>
      </c>
      <c r="F11" s="4" t="s">
        <v>198</v>
      </c>
      <c r="G11" s="4" t="s">
        <v>18</v>
      </c>
      <c r="H11" s="4" t="s">
        <v>199</v>
      </c>
      <c r="I11" s="7"/>
      <c r="J11" s="7"/>
      <c r="K11" s="7"/>
    </row>
    <row r="12" ht="22.5" customHeight="1">
      <c r="A12" s="4" t="s">
        <v>323</v>
      </c>
      <c r="B12" s="5">
        <v>40000.0</v>
      </c>
      <c r="C12" s="4" t="s">
        <v>11</v>
      </c>
      <c r="D12" s="6" t="s">
        <v>11</v>
      </c>
      <c r="E12" s="5">
        <v>178.0</v>
      </c>
      <c r="F12" s="4" t="s">
        <v>324</v>
      </c>
      <c r="G12" s="4" t="s">
        <v>16</v>
      </c>
      <c r="H12" s="4" t="s">
        <v>325</v>
      </c>
      <c r="I12" s="7"/>
      <c r="J12" s="7"/>
      <c r="K12" s="7"/>
    </row>
    <row r="13" ht="22.5" customHeight="1">
      <c r="A13" s="4" t="s">
        <v>326</v>
      </c>
      <c r="B13" s="5">
        <v>40000.0</v>
      </c>
      <c r="C13" s="4" t="s">
        <v>11</v>
      </c>
      <c r="D13" s="6" t="s">
        <v>11</v>
      </c>
      <c r="E13" s="5">
        <v>64.0</v>
      </c>
      <c r="F13" s="4" t="s">
        <v>324</v>
      </c>
      <c r="G13" s="4" t="s">
        <v>12</v>
      </c>
      <c r="H13" s="4" t="s">
        <v>327</v>
      </c>
      <c r="I13" s="7"/>
      <c r="J13" s="7"/>
      <c r="K13" s="7"/>
    </row>
    <row r="14" ht="22.5" customHeight="1">
      <c r="A14" s="4" t="s">
        <v>328</v>
      </c>
      <c r="B14" s="5">
        <v>40000.0</v>
      </c>
      <c r="C14" s="4" t="s">
        <v>11</v>
      </c>
      <c r="D14" s="6" t="s">
        <v>11</v>
      </c>
      <c r="E14" s="5">
        <v>22.0</v>
      </c>
      <c r="F14" s="4" t="s">
        <v>324</v>
      </c>
      <c r="G14" s="4" t="s">
        <v>53</v>
      </c>
      <c r="H14" s="4" t="s">
        <v>329</v>
      </c>
      <c r="I14" s="7"/>
      <c r="J14" s="7"/>
      <c r="K14" s="7"/>
    </row>
    <row r="15" ht="22.5" customHeight="1">
      <c r="A15" s="4" t="s">
        <v>1320</v>
      </c>
      <c r="B15" s="5">
        <v>40000.0</v>
      </c>
      <c r="C15" s="4" t="s">
        <v>1318</v>
      </c>
      <c r="D15" s="6">
        <v>-0.51</v>
      </c>
      <c r="E15" s="5">
        <v>702.0</v>
      </c>
      <c r="F15" s="4" t="s">
        <v>198</v>
      </c>
      <c r="G15" s="4" t="s">
        <v>49</v>
      </c>
      <c r="H15" s="4" t="s">
        <v>1321</v>
      </c>
      <c r="I15" s="7"/>
      <c r="J15" s="7"/>
      <c r="K15" s="7"/>
    </row>
    <row r="16" ht="22.5" customHeight="1">
      <c r="A16" s="4" t="s">
        <v>1345</v>
      </c>
      <c r="B16" s="5">
        <v>41900.0</v>
      </c>
      <c r="C16" s="4" t="s">
        <v>1106</v>
      </c>
      <c r="D16" s="6">
        <v>-0.54</v>
      </c>
      <c r="E16" s="5">
        <v>238.0</v>
      </c>
      <c r="F16" s="4" t="s">
        <v>75</v>
      </c>
      <c r="G16" s="4" t="s">
        <v>35</v>
      </c>
      <c r="H16" s="4" t="s">
        <v>1346</v>
      </c>
      <c r="I16" s="7"/>
      <c r="J16" s="7"/>
      <c r="K16" s="7"/>
    </row>
    <row r="17" ht="22.5" customHeight="1">
      <c r="A17" s="4" t="s">
        <v>330</v>
      </c>
      <c r="B17" s="5">
        <v>42000.0</v>
      </c>
      <c r="C17" s="4" t="s">
        <v>11</v>
      </c>
      <c r="D17" s="6" t="s">
        <v>11</v>
      </c>
      <c r="E17" s="5">
        <v>105.0</v>
      </c>
      <c r="F17" s="4" t="s">
        <v>324</v>
      </c>
      <c r="G17" s="4" t="s">
        <v>150</v>
      </c>
      <c r="H17" s="4" t="s">
        <v>331</v>
      </c>
      <c r="I17" s="7"/>
      <c r="J17" s="7"/>
      <c r="K17" s="7"/>
    </row>
    <row r="18" ht="22.5" customHeight="1">
      <c r="A18" s="4" t="s">
        <v>475</v>
      </c>
      <c r="B18" s="5">
        <v>42000.0</v>
      </c>
      <c r="C18" s="4" t="s">
        <v>11</v>
      </c>
      <c r="D18" s="6" t="s">
        <v>11</v>
      </c>
      <c r="E18" s="5">
        <v>142.0</v>
      </c>
      <c r="F18" s="4" t="s">
        <v>476</v>
      </c>
      <c r="G18" s="4" t="s">
        <v>41</v>
      </c>
      <c r="H18" s="4" t="s">
        <v>477</v>
      </c>
      <c r="I18" s="7"/>
      <c r="J18" s="7"/>
      <c r="K18" s="7"/>
    </row>
    <row r="19" ht="22.5" customHeight="1">
      <c r="A19" s="4" t="s">
        <v>332</v>
      </c>
      <c r="B19" s="5">
        <v>42500.0</v>
      </c>
      <c r="C19" s="4" t="s">
        <v>11</v>
      </c>
      <c r="D19" s="6" t="s">
        <v>11</v>
      </c>
      <c r="E19" s="5">
        <v>66.0</v>
      </c>
      <c r="F19" s="4" t="s">
        <v>324</v>
      </c>
      <c r="G19" s="4" t="s">
        <v>41</v>
      </c>
      <c r="H19" s="4" t="s">
        <v>333</v>
      </c>
      <c r="I19" s="7"/>
      <c r="J19" s="7"/>
      <c r="K19" s="7"/>
    </row>
    <row r="20" ht="22.5" customHeight="1">
      <c r="A20" s="4" t="s">
        <v>922</v>
      </c>
      <c r="B20" s="5">
        <v>42957.0</v>
      </c>
      <c r="C20" s="4" t="s">
        <v>923</v>
      </c>
      <c r="D20" s="6">
        <v>-0.14</v>
      </c>
      <c r="E20" s="5">
        <v>2000.0</v>
      </c>
      <c r="F20" s="4" t="s">
        <v>79</v>
      </c>
      <c r="G20" s="4" t="s">
        <v>41</v>
      </c>
      <c r="H20" s="4" t="s">
        <v>924</v>
      </c>
      <c r="I20" s="7"/>
      <c r="J20" s="7"/>
      <c r="K20" s="7"/>
    </row>
    <row r="21" ht="15.75" customHeight="1">
      <c r="A21" s="4" t="s">
        <v>441</v>
      </c>
      <c r="B21" s="5">
        <v>43000.0</v>
      </c>
      <c r="C21" s="4" t="s">
        <v>11</v>
      </c>
      <c r="D21" s="6" t="s">
        <v>11</v>
      </c>
      <c r="E21" s="6" t="s">
        <v>11</v>
      </c>
      <c r="F21" s="4" t="s">
        <v>439</v>
      </c>
      <c r="G21" s="4" t="s">
        <v>41</v>
      </c>
      <c r="H21" s="4" t="s">
        <v>442</v>
      </c>
      <c r="I21" s="7"/>
      <c r="J21" s="7"/>
      <c r="K21" s="7"/>
    </row>
    <row r="22" ht="15.75" customHeight="1">
      <c r="A22" s="4" t="s">
        <v>1269</v>
      </c>
      <c r="B22" s="5">
        <v>43000.0</v>
      </c>
      <c r="C22" s="4" t="s">
        <v>1270</v>
      </c>
      <c r="D22" s="6">
        <v>-0.49</v>
      </c>
      <c r="E22" s="5">
        <v>143.0</v>
      </c>
      <c r="F22" s="4" t="s">
        <v>198</v>
      </c>
      <c r="G22" s="4" t="s">
        <v>41</v>
      </c>
      <c r="H22" s="4" t="s">
        <v>1271</v>
      </c>
      <c r="I22" s="7"/>
      <c r="J22" s="7"/>
      <c r="K22" s="7"/>
    </row>
    <row r="23" ht="15.75" customHeight="1">
      <c r="A23" s="4" t="s">
        <v>1427</v>
      </c>
      <c r="B23" s="5">
        <v>43500.0</v>
      </c>
      <c r="C23" s="4" t="s">
        <v>1185</v>
      </c>
      <c r="D23" s="6">
        <v>-0.63</v>
      </c>
      <c r="E23" s="5">
        <v>18.0</v>
      </c>
      <c r="F23" s="4" t="s">
        <v>157</v>
      </c>
      <c r="G23" s="4" t="s">
        <v>66</v>
      </c>
      <c r="H23" s="4" t="s">
        <v>1428</v>
      </c>
      <c r="I23" s="7"/>
      <c r="J23" s="7"/>
      <c r="K23" s="7"/>
    </row>
    <row r="24" ht="15.75" customHeight="1">
      <c r="A24" s="4" t="s">
        <v>577</v>
      </c>
      <c r="B24" s="5">
        <v>43605.0</v>
      </c>
      <c r="C24" s="4" t="s">
        <v>11</v>
      </c>
      <c r="D24" s="6" t="s">
        <v>11</v>
      </c>
      <c r="E24" s="5">
        <v>9.0</v>
      </c>
      <c r="F24" s="4" t="s">
        <v>569</v>
      </c>
      <c r="G24" s="4" t="s">
        <v>153</v>
      </c>
      <c r="H24" s="4" t="s">
        <v>578</v>
      </c>
      <c r="I24" s="7"/>
      <c r="J24" s="7"/>
      <c r="K24" s="7"/>
    </row>
    <row r="25" ht="15.75" customHeight="1">
      <c r="A25" s="4" t="s">
        <v>1295</v>
      </c>
      <c r="B25" s="5">
        <v>43900.0</v>
      </c>
      <c r="C25" s="4" t="s">
        <v>1270</v>
      </c>
      <c r="D25" s="6">
        <v>-0.5</v>
      </c>
      <c r="E25" s="5">
        <v>174.0</v>
      </c>
      <c r="F25" s="4" t="s">
        <v>198</v>
      </c>
      <c r="G25" s="4" t="s">
        <v>66</v>
      </c>
      <c r="H25" s="4" t="s">
        <v>1296</v>
      </c>
      <c r="I25" s="7"/>
      <c r="J25" s="7"/>
      <c r="K25" s="7"/>
    </row>
    <row r="26" ht="15.75" customHeight="1">
      <c r="A26" s="4" t="s">
        <v>443</v>
      </c>
      <c r="B26" s="5">
        <v>44000.0</v>
      </c>
      <c r="C26" s="4" t="s">
        <v>11</v>
      </c>
      <c r="D26" s="6" t="s">
        <v>11</v>
      </c>
      <c r="E26" s="6" t="s">
        <v>11</v>
      </c>
      <c r="F26" s="4" t="s">
        <v>439</v>
      </c>
      <c r="G26" s="4" t="s">
        <v>41</v>
      </c>
      <c r="H26" s="4" t="s">
        <v>444</v>
      </c>
      <c r="I26" s="7"/>
      <c r="J26" s="7"/>
      <c r="K26" s="7"/>
    </row>
    <row r="27" ht="15.75" customHeight="1">
      <c r="A27" s="4" t="s">
        <v>1297</v>
      </c>
      <c r="B27" s="5">
        <v>44000.0</v>
      </c>
      <c r="C27" s="4" t="s">
        <v>1270</v>
      </c>
      <c r="D27" s="6">
        <v>-0.5</v>
      </c>
      <c r="E27" s="5">
        <v>16.0</v>
      </c>
      <c r="F27" s="4" t="s">
        <v>198</v>
      </c>
      <c r="G27" s="4" t="s">
        <v>66</v>
      </c>
      <c r="H27" s="4" t="s">
        <v>1298</v>
      </c>
      <c r="I27" s="7"/>
      <c r="J27" s="7"/>
      <c r="K27" s="7"/>
    </row>
    <row r="28" ht="15.75" customHeight="1">
      <c r="A28" s="4" t="s">
        <v>478</v>
      </c>
      <c r="B28" s="5">
        <v>44999.0</v>
      </c>
      <c r="C28" s="4" t="s">
        <v>11</v>
      </c>
      <c r="D28" s="6" t="s">
        <v>11</v>
      </c>
      <c r="E28" s="5">
        <v>145.0</v>
      </c>
      <c r="F28" s="4" t="s">
        <v>476</v>
      </c>
      <c r="G28" s="4" t="s">
        <v>41</v>
      </c>
      <c r="H28" s="4" t="s">
        <v>479</v>
      </c>
      <c r="I28" s="7"/>
      <c r="J28" s="7"/>
      <c r="K28" s="7"/>
    </row>
    <row r="29" ht="15.75" customHeight="1">
      <c r="A29" s="4" t="s">
        <v>995</v>
      </c>
      <c r="B29" s="5">
        <v>44999.0</v>
      </c>
      <c r="C29" s="4" t="s">
        <v>996</v>
      </c>
      <c r="D29" s="6">
        <v>-0.27</v>
      </c>
      <c r="E29" s="5">
        <v>665.0</v>
      </c>
      <c r="F29" s="4" t="s">
        <v>157</v>
      </c>
      <c r="G29" s="4" t="s">
        <v>41</v>
      </c>
      <c r="H29" s="4" t="s">
        <v>997</v>
      </c>
      <c r="I29" s="7"/>
      <c r="J29" s="7"/>
      <c r="K29" s="7"/>
    </row>
    <row r="30" ht="15.75" customHeight="1">
      <c r="A30" s="4" t="s">
        <v>69</v>
      </c>
      <c r="B30" s="5">
        <v>45000.0</v>
      </c>
      <c r="C30" s="4" t="s">
        <v>11</v>
      </c>
      <c r="D30" s="6" t="s">
        <v>11</v>
      </c>
      <c r="E30" s="5">
        <v>57.0</v>
      </c>
      <c r="F30" s="4" t="s">
        <v>70</v>
      </c>
      <c r="G30" s="4" t="s">
        <v>71</v>
      </c>
      <c r="H30" s="4" t="s">
        <v>72</v>
      </c>
      <c r="I30" s="7"/>
      <c r="J30" s="8" t="s">
        <v>73</v>
      </c>
      <c r="K30" s="7">
        <v>1.0</v>
      </c>
    </row>
    <row r="31" ht="15.75" customHeight="1">
      <c r="A31" s="4" t="s">
        <v>156</v>
      </c>
      <c r="B31" s="5">
        <v>45000.0</v>
      </c>
      <c r="C31" s="4" t="s">
        <v>11</v>
      </c>
      <c r="D31" s="6" t="s">
        <v>11</v>
      </c>
      <c r="E31" s="5">
        <v>131.0</v>
      </c>
      <c r="F31" s="4" t="s">
        <v>157</v>
      </c>
      <c r="G31" s="4" t="s">
        <v>57</v>
      </c>
      <c r="H31" s="4" t="s">
        <v>158</v>
      </c>
      <c r="I31" s="7"/>
      <c r="J31" s="8" t="s">
        <v>159</v>
      </c>
      <c r="K31" s="7">
        <v>2.0</v>
      </c>
    </row>
    <row r="32" ht="15.75" customHeight="1">
      <c r="A32" s="4" t="s">
        <v>200</v>
      </c>
      <c r="B32" s="5">
        <v>45000.0</v>
      </c>
      <c r="C32" s="4" t="s">
        <v>11</v>
      </c>
      <c r="D32" s="6" t="s">
        <v>11</v>
      </c>
      <c r="E32" s="5">
        <v>34.0</v>
      </c>
      <c r="F32" s="4" t="s">
        <v>198</v>
      </c>
      <c r="G32" s="4" t="s">
        <v>41</v>
      </c>
      <c r="H32" s="4" t="s">
        <v>201</v>
      </c>
      <c r="I32" s="7"/>
      <c r="J32" s="7"/>
      <c r="K32" s="7"/>
    </row>
    <row r="33" ht="15.75" customHeight="1">
      <c r="A33" s="4" t="s">
        <v>480</v>
      </c>
      <c r="B33" s="5">
        <v>45000.0</v>
      </c>
      <c r="C33" s="4" t="s">
        <v>11</v>
      </c>
      <c r="D33" s="6" t="s">
        <v>11</v>
      </c>
      <c r="E33" s="5">
        <v>46.0</v>
      </c>
      <c r="F33" s="4" t="s">
        <v>476</v>
      </c>
      <c r="G33" s="4" t="s">
        <v>64</v>
      </c>
      <c r="H33" s="4" t="s">
        <v>481</v>
      </c>
      <c r="I33" s="7"/>
      <c r="J33" s="7"/>
      <c r="K33" s="7"/>
    </row>
    <row r="34" ht="15.75" customHeight="1">
      <c r="A34" s="4" t="s">
        <v>952</v>
      </c>
      <c r="B34" s="5">
        <v>45000.0</v>
      </c>
      <c r="C34" s="4" t="s">
        <v>953</v>
      </c>
      <c r="D34" s="6">
        <v>-0.22</v>
      </c>
      <c r="E34" s="5">
        <v>24.0</v>
      </c>
      <c r="F34" s="4" t="s">
        <v>70</v>
      </c>
      <c r="G34" s="4" t="s">
        <v>41</v>
      </c>
      <c r="H34" s="4" t="s">
        <v>954</v>
      </c>
      <c r="I34" s="7"/>
      <c r="J34" s="7"/>
      <c r="K34" s="7"/>
    </row>
    <row r="35" ht="15.75" customHeight="1">
      <c r="A35" s="4" t="s">
        <v>302</v>
      </c>
      <c r="B35" s="5">
        <v>46800.0</v>
      </c>
      <c r="C35" s="4" t="s">
        <v>11</v>
      </c>
      <c r="D35" s="6" t="s">
        <v>11</v>
      </c>
      <c r="E35" s="6" t="s">
        <v>11</v>
      </c>
      <c r="F35" s="4" t="s">
        <v>303</v>
      </c>
      <c r="G35" s="4" t="s">
        <v>16</v>
      </c>
      <c r="H35" s="4" t="s">
        <v>304</v>
      </c>
      <c r="I35" s="7"/>
      <c r="J35" s="7"/>
      <c r="K35" s="7"/>
    </row>
    <row r="36" ht="15.75" customHeight="1">
      <c r="A36" s="4" t="s">
        <v>1132</v>
      </c>
      <c r="B36" s="5">
        <v>47000.0</v>
      </c>
      <c r="C36" s="4" t="s">
        <v>1133</v>
      </c>
      <c r="D36" s="6">
        <v>-0.41</v>
      </c>
      <c r="E36" s="5">
        <v>962.0</v>
      </c>
      <c r="F36" s="4" t="s">
        <v>198</v>
      </c>
      <c r="G36" s="4" t="s">
        <v>66</v>
      </c>
      <c r="H36" s="4" t="s">
        <v>1134</v>
      </c>
      <c r="I36" s="7"/>
      <c r="J36" s="7"/>
      <c r="K36" s="7"/>
    </row>
    <row r="37" ht="15.75" customHeight="1">
      <c r="A37" s="4" t="s">
        <v>202</v>
      </c>
      <c r="B37" s="5">
        <v>48500.0</v>
      </c>
      <c r="C37" s="4" t="s">
        <v>11</v>
      </c>
      <c r="D37" s="6" t="s">
        <v>11</v>
      </c>
      <c r="E37" s="5">
        <v>136.0</v>
      </c>
      <c r="F37" s="4" t="s">
        <v>198</v>
      </c>
      <c r="G37" s="4" t="s">
        <v>41</v>
      </c>
      <c r="H37" s="4" t="s">
        <v>203</v>
      </c>
      <c r="I37" s="7"/>
      <c r="J37" s="7"/>
      <c r="K37" s="7"/>
    </row>
    <row r="38" ht="15.75" customHeight="1">
      <c r="A38" s="4" t="s">
        <v>579</v>
      </c>
      <c r="B38" s="5">
        <v>49400.0</v>
      </c>
      <c r="C38" s="4" t="s">
        <v>11</v>
      </c>
      <c r="D38" s="6" t="s">
        <v>11</v>
      </c>
      <c r="E38" s="5">
        <v>47.0</v>
      </c>
      <c r="F38" s="4" t="s">
        <v>569</v>
      </c>
      <c r="G38" s="4" t="s">
        <v>18</v>
      </c>
      <c r="H38" s="4" t="s">
        <v>580</v>
      </c>
      <c r="I38" s="7"/>
      <c r="J38" s="7"/>
      <c r="K38" s="7"/>
    </row>
    <row r="39" ht="15.75" customHeight="1">
      <c r="A39" s="4" t="s">
        <v>445</v>
      </c>
      <c r="B39" s="5">
        <v>49950.0</v>
      </c>
      <c r="C39" s="4" t="s">
        <v>11</v>
      </c>
      <c r="D39" s="6" t="s">
        <v>11</v>
      </c>
      <c r="E39" s="6" t="s">
        <v>11</v>
      </c>
      <c r="F39" s="4" t="s">
        <v>439</v>
      </c>
      <c r="G39" s="4" t="s">
        <v>41</v>
      </c>
      <c r="H39" s="4" t="s">
        <v>446</v>
      </c>
      <c r="I39" s="7"/>
      <c r="J39" s="7"/>
      <c r="K39" s="7"/>
    </row>
    <row r="40" ht="15.75" customHeight="1">
      <c r="A40" s="4" t="s">
        <v>482</v>
      </c>
      <c r="B40" s="5">
        <v>49999.0</v>
      </c>
      <c r="C40" s="4" t="s">
        <v>11</v>
      </c>
      <c r="D40" s="6" t="s">
        <v>11</v>
      </c>
      <c r="E40" s="5">
        <v>381.0</v>
      </c>
      <c r="F40" s="4" t="s">
        <v>476</v>
      </c>
      <c r="G40" s="4" t="s">
        <v>41</v>
      </c>
      <c r="H40" s="4" t="s">
        <v>483</v>
      </c>
      <c r="I40" s="7"/>
      <c r="J40" s="7"/>
      <c r="K40" s="7"/>
    </row>
    <row r="41" ht="15.75" customHeight="1">
      <c r="A41" s="4" t="s">
        <v>581</v>
      </c>
      <c r="B41" s="5">
        <v>55100.0</v>
      </c>
      <c r="C41" s="4" t="s">
        <v>11</v>
      </c>
      <c r="D41" s="6" t="s">
        <v>11</v>
      </c>
      <c r="E41" s="5">
        <v>4.0</v>
      </c>
      <c r="F41" s="4" t="s">
        <v>569</v>
      </c>
      <c r="G41" s="4" t="s">
        <v>57</v>
      </c>
      <c r="H41" s="4" t="s">
        <v>582</v>
      </c>
      <c r="I41" s="7"/>
      <c r="J41" s="7"/>
      <c r="K41" s="7"/>
    </row>
    <row r="42" ht="15.75" customHeight="1">
      <c r="A42" s="4" t="s">
        <v>1067</v>
      </c>
      <c r="B42" s="5">
        <v>55500.0</v>
      </c>
      <c r="C42" s="4" t="s">
        <v>1068</v>
      </c>
      <c r="D42" s="6">
        <v>-0.36</v>
      </c>
      <c r="E42" s="5">
        <v>32.0</v>
      </c>
      <c r="F42" s="4" t="s">
        <v>198</v>
      </c>
      <c r="G42" s="4" t="s">
        <v>66</v>
      </c>
      <c r="H42" s="4" t="s">
        <v>1069</v>
      </c>
      <c r="I42" s="7"/>
      <c r="J42" s="7"/>
      <c r="K42" s="7"/>
    </row>
    <row r="43" ht="15.75" customHeight="1">
      <c r="A43" s="4" t="s">
        <v>1379</v>
      </c>
      <c r="B43" s="5">
        <v>55500.0</v>
      </c>
      <c r="C43" s="4" t="s">
        <v>1079</v>
      </c>
      <c r="D43" s="6">
        <v>-0.57</v>
      </c>
      <c r="E43" s="5">
        <v>2000.0</v>
      </c>
      <c r="F43" s="4" t="s">
        <v>101</v>
      </c>
      <c r="G43" s="4" t="s">
        <v>41</v>
      </c>
      <c r="H43" s="4" t="s">
        <v>1380</v>
      </c>
      <c r="I43" s="7"/>
      <c r="J43" s="7"/>
      <c r="K43" s="7"/>
    </row>
    <row r="44" ht="15.75" customHeight="1">
      <c r="A44" s="4" t="s">
        <v>949</v>
      </c>
      <c r="B44" s="5">
        <v>57000.0</v>
      </c>
      <c r="C44" s="4" t="s">
        <v>950</v>
      </c>
      <c r="D44" s="6">
        <v>-0.21</v>
      </c>
      <c r="E44" s="5">
        <v>192.0</v>
      </c>
      <c r="F44" s="4" t="s">
        <v>324</v>
      </c>
      <c r="G44" s="4" t="s">
        <v>66</v>
      </c>
      <c r="H44" s="4" t="s">
        <v>951</v>
      </c>
      <c r="I44" s="7"/>
      <c r="J44" s="7"/>
      <c r="K44" s="7"/>
    </row>
    <row r="45" ht="15.75" customHeight="1">
      <c r="A45" s="4" t="s">
        <v>334</v>
      </c>
      <c r="B45" s="5">
        <v>57440.0</v>
      </c>
      <c r="C45" s="4" t="s">
        <v>11</v>
      </c>
      <c r="D45" s="6" t="s">
        <v>11</v>
      </c>
      <c r="E45" s="5">
        <v>1000.0</v>
      </c>
      <c r="F45" s="4" t="s">
        <v>324</v>
      </c>
      <c r="G45" s="4" t="s">
        <v>16</v>
      </c>
      <c r="H45" s="4" t="s">
        <v>335</v>
      </c>
      <c r="I45" s="7"/>
      <c r="J45" s="7"/>
      <c r="K45" s="7"/>
    </row>
    <row r="46" ht="15.75" customHeight="1">
      <c r="A46" s="4" t="s">
        <v>336</v>
      </c>
      <c r="B46" s="5">
        <v>57700.0</v>
      </c>
      <c r="C46" s="4" t="s">
        <v>11</v>
      </c>
      <c r="D46" s="6" t="s">
        <v>11</v>
      </c>
      <c r="E46" s="5">
        <v>293.0</v>
      </c>
      <c r="F46" s="4" t="s">
        <v>324</v>
      </c>
      <c r="G46" s="4" t="s">
        <v>41</v>
      </c>
      <c r="H46" s="4" t="s">
        <v>337</v>
      </c>
      <c r="I46" s="7"/>
      <c r="J46" s="7"/>
      <c r="K46" s="7"/>
    </row>
    <row r="47" ht="15.75" customHeight="1">
      <c r="A47" s="4" t="s">
        <v>583</v>
      </c>
      <c r="B47" s="5">
        <v>58560.0</v>
      </c>
      <c r="C47" s="4" t="s">
        <v>11</v>
      </c>
      <c r="D47" s="6" t="s">
        <v>11</v>
      </c>
      <c r="E47" s="5">
        <v>2.0</v>
      </c>
      <c r="F47" s="4" t="s">
        <v>569</v>
      </c>
      <c r="G47" s="4" t="s">
        <v>12</v>
      </c>
      <c r="H47" s="4" t="s">
        <v>146</v>
      </c>
      <c r="I47" s="7"/>
      <c r="J47" s="7"/>
      <c r="K47" s="7"/>
    </row>
    <row r="48" ht="15.75" customHeight="1">
      <c r="A48" s="4" t="s">
        <v>1054</v>
      </c>
      <c r="B48" s="5">
        <v>59000.0</v>
      </c>
      <c r="C48" s="4" t="s">
        <v>996</v>
      </c>
      <c r="D48" s="6">
        <v>-0.35</v>
      </c>
      <c r="E48" s="5">
        <v>167.0</v>
      </c>
      <c r="F48" s="4" t="s">
        <v>198</v>
      </c>
      <c r="G48" s="4" t="s">
        <v>66</v>
      </c>
      <c r="H48" s="4" t="s">
        <v>1055</v>
      </c>
      <c r="I48" s="7"/>
      <c r="J48" s="7"/>
      <c r="K48" s="7"/>
    </row>
    <row r="49" ht="15.75" customHeight="1">
      <c r="A49" s="4" t="s">
        <v>584</v>
      </c>
      <c r="B49" s="5">
        <v>63000.0</v>
      </c>
      <c r="C49" s="4" t="s">
        <v>11</v>
      </c>
      <c r="D49" s="6" t="s">
        <v>11</v>
      </c>
      <c r="E49" s="5">
        <v>3.0</v>
      </c>
      <c r="F49" s="4" t="s">
        <v>569</v>
      </c>
      <c r="G49" s="4" t="s">
        <v>12</v>
      </c>
      <c r="H49" s="4" t="s">
        <v>585</v>
      </c>
      <c r="I49" s="7"/>
      <c r="J49" s="7"/>
      <c r="K49" s="7"/>
    </row>
    <row r="50" ht="15.75" customHeight="1">
      <c r="A50" s="4" t="s">
        <v>586</v>
      </c>
      <c r="B50" s="5">
        <v>63500.0</v>
      </c>
      <c r="C50" s="4" t="s">
        <v>11</v>
      </c>
      <c r="D50" s="6" t="s">
        <v>11</v>
      </c>
      <c r="E50" s="5">
        <v>3.0</v>
      </c>
      <c r="F50" s="4" t="s">
        <v>569</v>
      </c>
      <c r="G50" s="4" t="s">
        <v>83</v>
      </c>
      <c r="H50" s="4" t="s">
        <v>587</v>
      </c>
      <c r="I50" s="7"/>
      <c r="J50" s="7"/>
      <c r="K50" s="7"/>
    </row>
    <row r="51" ht="15.75" customHeight="1">
      <c r="A51" s="4" t="s">
        <v>1009</v>
      </c>
      <c r="B51" s="5">
        <v>63500.0</v>
      </c>
      <c r="C51" s="4" t="s">
        <v>1010</v>
      </c>
      <c r="D51" s="6">
        <v>-0.29</v>
      </c>
      <c r="E51" s="5">
        <v>61.0</v>
      </c>
      <c r="F51" s="4" t="s">
        <v>101</v>
      </c>
      <c r="G51" s="4" t="s">
        <v>37</v>
      </c>
      <c r="H51" s="4" t="s">
        <v>1011</v>
      </c>
      <c r="I51" s="7"/>
      <c r="J51" s="7"/>
      <c r="K51" s="7"/>
    </row>
    <row r="52" ht="15.75" customHeight="1">
      <c r="A52" s="4" t="s">
        <v>484</v>
      </c>
      <c r="B52" s="5">
        <v>63900.0</v>
      </c>
      <c r="C52" s="4" t="s">
        <v>11</v>
      </c>
      <c r="D52" s="6" t="s">
        <v>11</v>
      </c>
      <c r="E52" s="5">
        <v>24.0</v>
      </c>
      <c r="F52" s="4" t="s">
        <v>476</v>
      </c>
      <c r="G52" s="4" t="s">
        <v>12</v>
      </c>
      <c r="H52" s="4" t="s">
        <v>485</v>
      </c>
      <c r="I52" s="7"/>
      <c r="J52" s="7"/>
      <c r="K52" s="7"/>
    </row>
    <row r="53" ht="15.75" customHeight="1">
      <c r="A53" s="4" t="s">
        <v>1396</v>
      </c>
      <c r="B53" s="5">
        <v>63900.0</v>
      </c>
      <c r="C53" s="4" t="s">
        <v>1329</v>
      </c>
      <c r="D53" s="6">
        <v>-0.59</v>
      </c>
      <c r="E53" s="5">
        <v>200.0</v>
      </c>
      <c r="F53" s="4" t="s">
        <v>55</v>
      </c>
      <c r="G53" s="4" t="s">
        <v>41</v>
      </c>
      <c r="H53" s="4" t="s">
        <v>1397</v>
      </c>
      <c r="I53" s="7"/>
      <c r="J53" s="7"/>
      <c r="K53" s="7"/>
    </row>
    <row r="54" ht="15.75" customHeight="1">
      <c r="A54" s="4" t="s">
        <v>1219</v>
      </c>
      <c r="B54" s="5">
        <v>64000.0</v>
      </c>
      <c r="C54" s="4" t="s">
        <v>1220</v>
      </c>
      <c r="D54" s="6">
        <v>-0.46</v>
      </c>
      <c r="E54" s="5">
        <v>126.0</v>
      </c>
      <c r="F54" s="4" t="s">
        <v>75</v>
      </c>
      <c r="G54" s="4" t="s">
        <v>41</v>
      </c>
      <c r="H54" s="4" t="s">
        <v>1221</v>
      </c>
      <c r="I54" s="7"/>
      <c r="J54" s="7"/>
      <c r="K54" s="7"/>
    </row>
    <row r="55" ht="15.75" customHeight="1">
      <c r="A55" s="4" t="s">
        <v>1003</v>
      </c>
      <c r="B55" s="5">
        <v>64700.0</v>
      </c>
      <c r="C55" s="4" t="s">
        <v>1004</v>
      </c>
      <c r="D55" s="6">
        <v>-0.28</v>
      </c>
      <c r="E55" s="5">
        <v>37.0</v>
      </c>
      <c r="F55" s="4" t="s">
        <v>101</v>
      </c>
      <c r="G55" s="4" t="s">
        <v>41</v>
      </c>
      <c r="H55" s="4" t="s">
        <v>1005</v>
      </c>
      <c r="I55" s="7"/>
      <c r="J55" s="7"/>
      <c r="K55" s="7"/>
    </row>
    <row r="56" ht="15.75" customHeight="1">
      <c r="A56" s="4" t="s">
        <v>204</v>
      </c>
      <c r="B56" s="5">
        <v>65000.0</v>
      </c>
      <c r="C56" s="4" t="s">
        <v>11</v>
      </c>
      <c r="D56" s="6" t="s">
        <v>11</v>
      </c>
      <c r="E56" s="5">
        <v>24.0</v>
      </c>
      <c r="F56" s="4" t="s">
        <v>198</v>
      </c>
      <c r="G56" s="4" t="s">
        <v>16</v>
      </c>
      <c r="H56" s="4" t="s">
        <v>205</v>
      </c>
      <c r="I56" s="7"/>
      <c r="J56" s="7"/>
      <c r="K56" s="7"/>
    </row>
    <row r="57" ht="15.75" customHeight="1">
      <c r="A57" s="4" t="s">
        <v>588</v>
      </c>
      <c r="B57" s="5">
        <v>65000.0</v>
      </c>
      <c r="C57" s="4" t="s">
        <v>11</v>
      </c>
      <c r="D57" s="6" t="s">
        <v>11</v>
      </c>
      <c r="E57" s="5">
        <v>3.0</v>
      </c>
      <c r="F57" s="4" t="s">
        <v>569</v>
      </c>
      <c r="G57" s="4" t="s">
        <v>169</v>
      </c>
      <c r="H57" s="4" t="s">
        <v>589</v>
      </c>
      <c r="I57" s="7"/>
      <c r="J57" s="7"/>
      <c r="K57" s="7"/>
    </row>
    <row r="58" ht="15.75" customHeight="1">
      <c r="A58" s="4" t="s">
        <v>1261</v>
      </c>
      <c r="B58" s="5">
        <v>65000.0</v>
      </c>
      <c r="C58" s="4" t="s">
        <v>1251</v>
      </c>
      <c r="D58" s="6">
        <v>-0.48</v>
      </c>
      <c r="E58" s="5">
        <v>20.0</v>
      </c>
      <c r="F58" s="4" t="s">
        <v>476</v>
      </c>
      <c r="G58" s="4" t="s">
        <v>35</v>
      </c>
      <c r="H58" s="4" t="s">
        <v>1262</v>
      </c>
      <c r="I58" s="7"/>
      <c r="J58" s="7"/>
      <c r="K58" s="7"/>
    </row>
    <row r="59" ht="15.75" customHeight="1">
      <c r="A59" s="4" t="s">
        <v>206</v>
      </c>
      <c r="B59" s="5">
        <v>65100.0</v>
      </c>
      <c r="C59" s="4" t="s">
        <v>11</v>
      </c>
      <c r="D59" s="6" t="s">
        <v>11</v>
      </c>
      <c r="E59" s="5">
        <v>143.0</v>
      </c>
      <c r="F59" s="4" t="s">
        <v>198</v>
      </c>
      <c r="G59" s="4" t="s">
        <v>66</v>
      </c>
      <c r="H59" s="4" t="s">
        <v>207</v>
      </c>
      <c r="I59" s="7"/>
      <c r="J59" s="7"/>
      <c r="K59" s="7"/>
    </row>
    <row r="60" ht="15.75" customHeight="1">
      <c r="A60" s="4" t="s">
        <v>1189</v>
      </c>
      <c r="B60" s="5">
        <v>65100.0</v>
      </c>
      <c r="C60" s="4" t="s">
        <v>1190</v>
      </c>
      <c r="D60" s="6">
        <v>-0.44</v>
      </c>
      <c r="E60" s="5">
        <v>3000.0</v>
      </c>
      <c r="F60" s="4" t="s">
        <v>114</v>
      </c>
      <c r="G60" s="4" t="s">
        <v>41</v>
      </c>
      <c r="H60" s="4" t="s">
        <v>1191</v>
      </c>
      <c r="I60" s="7"/>
      <c r="J60" s="7"/>
      <c r="K60" s="7"/>
    </row>
    <row r="61" ht="15.75" customHeight="1">
      <c r="A61" s="4" t="s">
        <v>862</v>
      </c>
      <c r="B61" s="5">
        <v>65500.0</v>
      </c>
      <c r="C61" s="4" t="s">
        <v>841</v>
      </c>
      <c r="D61" s="6">
        <v>-0.05</v>
      </c>
      <c r="E61" s="5">
        <v>488.0</v>
      </c>
      <c r="F61" s="4" t="s">
        <v>198</v>
      </c>
      <c r="G61" s="4" t="s">
        <v>49</v>
      </c>
      <c r="H61" s="4" t="s">
        <v>863</v>
      </c>
      <c r="I61" s="7"/>
      <c r="J61" s="7"/>
      <c r="K61" s="7"/>
    </row>
    <row r="62" ht="15.75" customHeight="1">
      <c r="A62" s="4" t="s">
        <v>1073</v>
      </c>
      <c r="B62" s="5">
        <v>65800.0</v>
      </c>
      <c r="C62" s="4" t="s">
        <v>996</v>
      </c>
      <c r="D62" s="6">
        <v>-0.36</v>
      </c>
      <c r="E62" s="5">
        <v>34.0</v>
      </c>
      <c r="F62" s="4" t="s">
        <v>569</v>
      </c>
      <c r="G62" s="4" t="s">
        <v>66</v>
      </c>
      <c r="H62" s="4" t="s">
        <v>1074</v>
      </c>
      <c r="I62" s="7"/>
      <c r="J62" s="7"/>
      <c r="K62" s="7"/>
    </row>
    <row r="63" ht="15.75" customHeight="1">
      <c r="A63" s="4" t="s">
        <v>1139</v>
      </c>
      <c r="B63" s="5">
        <v>66500.0</v>
      </c>
      <c r="C63" s="4" t="s">
        <v>1140</v>
      </c>
      <c r="D63" s="6">
        <v>-0.41</v>
      </c>
      <c r="E63" s="5">
        <v>616.0</v>
      </c>
      <c r="F63" s="4" t="s">
        <v>324</v>
      </c>
      <c r="G63" s="4" t="s">
        <v>66</v>
      </c>
      <c r="H63" s="4" t="s">
        <v>1141</v>
      </c>
      <c r="I63" s="7"/>
      <c r="J63" s="7"/>
      <c r="K63" s="7"/>
    </row>
    <row r="64" ht="15.75" customHeight="1">
      <c r="A64" s="4" t="s">
        <v>873</v>
      </c>
      <c r="B64" s="5">
        <v>66800.0</v>
      </c>
      <c r="C64" s="4" t="s">
        <v>874</v>
      </c>
      <c r="D64" s="6">
        <v>-0.06</v>
      </c>
      <c r="E64" s="5">
        <v>43.0</v>
      </c>
      <c r="F64" s="4" t="s">
        <v>198</v>
      </c>
      <c r="G64" s="4" t="s">
        <v>41</v>
      </c>
      <c r="H64" s="4" t="s">
        <v>875</v>
      </c>
      <c r="I64" s="7"/>
      <c r="J64" s="7"/>
      <c r="K64" s="7"/>
    </row>
    <row r="65" ht="15.75" customHeight="1">
      <c r="A65" s="4" t="s">
        <v>1192</v>
      </c>
      <c r="B65" s="5">
        <v>66800.0</v>
      </c>
      <c r="C65" s="4" t="s">
        <v>1193</v>
      </c>
      <c r="D65" s="6">
        <v>-0.44</v>
      </c>
      <c r="E65" s="5">
        <v>204.0</v>
      </c>
      <c r="F65" s="4" t="s">
        <v>114</v>
      </c>
      <c r="G65" s="4" t="s">
        <v>41</v>
      </c>
      <c r="H65" s="4" t="s">
        <v>1194</v>
      </c>
      <c r="I65" s="7"/>
      <c r="J65" s="7"/>
      <c r="K65" s="7"/>
    </row>
    <row r="66" ht="15.75" customHeight="1">
      <c r="A66" s="4" t="s">
        <v>1090</v>
      </c>
      <c r="B66" s="5">
        <v>69250.0</v>
      </c>
      <c r="C66" s="4" t="s">
        <v>996</v>
      </c>
      <c r="D66" s="6">
        <v>-0.37</v>
      </c>
      <c r="E66" s="5">
        <v>75.0</v>
      </c>
      <c r="F66" s="4" t="s">
        <v>324</v>
      </c>
      <c r="G66" s="4" t="s">
        <v>66</v>
      </c>
      <c r="H66" s="4" t="s">
        <v>1091</v>
      </c>
      <c r="I66" s="7"/>
      <c r="J66" s="7"/>
      <c r="K66" s="7"/>
    </row>
    <row r="67" ht="15.75" customHeight="1">
      <c r="A67" s="4" t="s">
        <v>338</v>
      </c>
      <c r="B67" s="5">
        <v>69300.0</v>
      </c>
      <c r="C67" s="4" t="s">
        <v>11</v>
      </c>
      <c r="D67" s="6" t="s">
        <v>11</v>
      </c>
      <c r="E67" s="5">
        <v>406.0</v>
      </c>
      <c r="F67" s="4" t="s">
        <v>324</v>
      </c>
      <c r="G67" s="4" t="s">
        <v>16</v>
      </c>
      <c r="H67" s="4" t="s">
        <v>339</v>
      </c>
      <c r="I67" s="7"/>
      <c r="J67" s="7"/>
      <c r="K67" s="7"/>
    </row>
    <row r="68" ht="15.75" customHeight="1">
      <c r="A68" s="4" t="s">
        <v>590</v>
      </c>
      <c r="B68" s="5">
        <v>69500.0</v>
      </c>
      <c r="C68" s="4" t="s">
        <v>11</v>
      </c>
      <c r="D68" s="6" t="s">
        <v>11</v>
      </c>
      <c r="E68" s="5">
        <v>6.0</v>
      </c>
      <c r="F68" s="4" t="s">
        <v>569</v>
      </c>
      <c r="G68" s="4" t="s">
        <v>117</v>
      </c>
      <c r="H68" s="4" t="s">
        <v>591</v>
      </c>
      <c r="I68" s="7"/>
      <c r="J68" s="7"/>
      <c r="K68" s="7"/>
    </row>
    <row r="69" ht="15.75" customHeight="1">
      <c r="A69" s="4" t="s">
        <v>1178</v>
      </c>
      <c r="B69" s="5">
        <v>69800.0</v>
      </c>
      <c r="C69" s="4" t="s">
        <v>1179</v>
      </c>
      <c r="D69" s="6">
        <v>-0.43</v>
      </c>
      <c r="E69" s="5">
        <v>32.0</v>
      </c>
      <c r="F69" s="4" t="s">
        <v>569</v>
      </c>
      <c r="G69" s="4" t="s">
        <v>66</v>
      </c>
      <c r="H69" s="4" t="s">
        <v>1180</v>
      </c>
      <c r="I69" s="7"/>
      <c r="J69" s="7"/>
      <c r="K69" s="7"/>
    </row>
    <row r="70" ht="15.75" customHeight="1">
      <c r="A70" s="4" t="s">
        <v>1452</v>
      </c>
      <c r="B70" s="5">
        <v>69800.0</v>
      </c>
      <c r="C70" s="4" t="s">
        <v>802</v>
      </c>
      <c r="D70" s="6">
        <v>-0.7</v>
      </c>
      <c r="E70" s="5">
        <v>622.0</v>
      </c>
      <c r="F70" s="4" t="s">
        <v>198</v>
      </c>
      <c r="G70" s="4" t="s">
        <v>66</v>
      </c>
      <c r="H70" s="4" t="s">
        <v>1453</v>
      </c>
      <c r="I70" s="7"/>
      <c r="J70" s="7"/>
      <c r="K70" s="7"/>
    </row>
    <row r="71" ht="15.75" customHeight="1">
      <c r="A71" s="4" t="s">
        <v>957</v>
      </c>
      <c r="B71" s="5">
        <v>69999.0</v>
      </c>
      <c r="C71" s="4" t="s">
        <v>958</v>
      </c>
      <c r="D71" s="6">
        <v>-0.22</v>
      </c>
      <c r="E71" s="5">
        <v>766.0</v>
      </c>
      <c r="F71" s="4" t="s">
        <v>324</v>
      </c>
      <c r="G71" s="4" t="s">
        <v>66</v>
      </c>
      <c r="H71" s="4" t="s">
        <v>959</v>
      </c>
      <c r="I71" s="7"/>
      <c r="J71" s="7"/>
      <c r="K71" s="7"/>
    </row>
    <row r="72" ht="15.75" customHeight="1">
      <c r="A72" s="4" t="s">
        <v>208</v>
      </c>
      <c r="B72" s="5">
        <v>70000.0</v>
      </c>
      <c r="C72" s="4" t="s">
        <v>11</v>
      </c>
      <c r="D72" s="6" t="s">
        <v>11</v>
      </c>
      <c r="E72" s="5">
        <v>31.0</v>
      </c>
      <c r="F72" s="4" t="s">
        <v>198</v>
      </c>
      <c r="G72" s="4" t="s">
        <v>57</v>
      </c>
      <c r="H72" s="4" t="s">
        <v>209</v>
      </c>
      <c r="I72" s="7"/>
      <c r="J72" s="7"/>
      <c r="K72" s="7"/>
    </row>
    <row r="73" ht="15.75" customHeight="1">
      <c r="A73" s="4" t="s">
        <v>592</v>
      </c>
      <c r="B73" s="5">
        <v>70000.0</v>
      </c>
      <c r="C73" s="4" t="s">
        <v>11</v>
      </c>
      <c r="D73" s="6" t="s">
        <v>11</v>
      </c>
      <c r="E73" s="5">
        <v>8.0</v>
      </c>
      <c r="F73" s="4" t="s">
        <v>569</v>
      </c>
      <c r="G73" s="4" t="s">
        <v>41</v>
      </c>
      <c r="H73" s="4" t="s">
        <v>593</v>
      </c>
      <c r="I73" s="7"/>
      <c r="J73" s="7"/>
      <c r="K73" s="7"/>
    </row>
    <row r="74" ht="15.75" customHeight="1">
      <c r="A74" s="4" t="s">
        <v>856</v>
      </c>
      <c r="B74" s="5">
        <v>70000.0</v>
      </c>
      <c r="C74" s="4" t="s">
        <v>857</v>
      </c>
      <c r="D74" s="6">
        <v>-0.04</v>
      </c>
      <c r="E74" s="5">
        <v>2000.0</v>
      </c>
      <c r="F74" s="4" t="s">
        <v>324</v>
      </c>
      <c r="G74" s="4" t="s">
        <v>66</v>
      </c>
      <c r="H74" s="4" t="s">
        <v>858</v>
      </c>
      <c r="I74" s="7"/>
      <c r="J74" s="7"/>
      <c r="K74" s="7"/>
    </row>
    <row r="75" ht="15.75" customHeight="1">
      <c r="A75" s="4" t="s">
        <v>594</v>
      </c>
      <c r="B75" s="5">
        <v>70700.0</v>
      </c>
      <c r="C75" s="4" t="s">
        <v>11</v>
      </c>
      <c r="D75" s="6" t="s">
        <v>11</v>
      </c>
      <c r="E75" s="5">
        <v>5.0</v>
      </c>
      <c r="F75" s="4" t="s">
        <v>569</v>
      </c>
      <c r="G75" s="4" t="s">
        <v>49</v>
      </c>
      <c r="H75" s="4" t="s">
        <v>595</v>
      </c>
      <c r="I75" s="7"/>
      <c r="J75" s="7"/>
      <c r="K75" s="7"/>
    </row>
    <row r="76" ht="15.75" customHeight="1">
      <c r="A76" s="4" t="s">
        <v>933</v>
      </c>
      <c r="B76" s="5">
        <v>71999.0</v>
      </c>
      <c r="C76" s="4" t="s">
        <v>934</v>
      </c>
      <c r="D76" s="6">
        <v>-0.16</v>
      </c>
      <c r="E76" s="5">
        <v>8000.0</v>
      </c>
      <c r="F76" s="4" t="s">
        <v>324</v>
      </c>
      <c r="G76" s="4" t="s">
        <v>41</v>
      </c>
      <c r="H76" s="4" t="s">
        <v>935</v>
      </c>
      <c r="I76" s="7"/>
      <c r="J76" s="7"/>
      <c r="K76" s="7"/>
    </row>
    <row r="77" ht="15.75" customHeight="1">
      <c r="A77" s="4" t="s">
        <v>843</v>
      </c>
      <c r="B77" s="5">
        <v>73600.0</v>
      </c>
      <c r="C77" s="4" t="s">
        <v>844</v>
      </c>
      <c r="D77" s="6">
        <v>-0.02</v>
      </c>
      <c r="E77" s="5">
        <v>1000.0</v>
      </c>
      <c r="F77" s="4" t="s">
        <v>324</v>
      </c>
      <c r="G77" s="4" t="s">
        <v>137</v>
      </c>
      <c r="H77" s="4" t="s">
        <v>845</v>
      </c>
      <c r="I77" s="7"/>
      <c r="J77" s="7"/>
      <c r="K77" s="7"/>
    </row>
    <row r="78" ht="15.75" customHeight="1">
      <c r="A78" s="4" t="s">
        <v>846</v>
      </c>
      <c r="B78" s="5">
        <v>73800.0</v>
      </c>
      <c r="C78" s="4" t="s">
        <v>844</v>
      </c>
      <c r="D78" s="6">
        <v>-0.02</v>
      </c>
      <c r="E78" s="5">
        <v>21.0</v>
      </c>
      <c r="F78" s="4" t="s">
        <v>324</v>
      </c>
      <c r="G78" s="4" t="s">
        <v>137</v>
      </c>
      <c r="H78" s="4" t="s">
        <v>845</v>
      </c>
      <c r="I78" s="7"/>
      <c r="J78" s="7"/>
      <c r="K78" s="7"/>
    </row>
    <row r="79" ht="15.75" customHeight="1">
      <c r="A79" s="4" t="s">
        <v>1315</v>
      </c>
      <c r="B79" s="5">
        <v>73800.0</v>
      </c>
      <c r="C79" s="4" t="s">
        <v>1251</v>
      </c>
      <c r="D79" s="6">
        <v>-0.51</v>
      </c>
      <c r="E79" s="5">
        <v>19.0</v>
      </c>
      <c r="F79" s="4" t="s">
        <v>75</v>
      </c>
      <c r="G79" s="4" t="s">
        <v>66</v>
      </c>
      <c r="H79" s="4" t="s">
        <v>1316</v>
      </c>
      <c r="I79" s="7"/>
      <c r="J79" s="7"/>
      <c r="K79" s="7"/>
    </row>
    <row r="80" ht="15.75" customHeight="1">
      <c r="A80" s="4" t="s">
        <v>1367</v>
      </c>
      <c r="B80" s="5">
        <v>74104.0</v>
      </c>
      <c r="C80" s="4" t="s">
        <v>1368</v>
      </c>
      <c r="D80" s="6">
        <v>-0.55</v>
      </c>
      <c r="E80" s="5">
        <v>219.0</v>
      </c>
      <c r="F80" s="4" t="s">
        <v>324</v>
      </c>
      <c r="G80" s="4" t="s">
        <v>66</v>
      </c>
      <c r="H80" s="4" t="s">
        <v>1369</v>
      </c>
      <c r="I80" s="7"/>
      <c r="J80" s="7"/>
      <c r="K80" s="7"/>
    </row>
    <row r="81" ht="15.75" customHeight="1">
      <c r="A81" s="4" t="s">
        <v>1331</v>
      </c>
      <c r="B81" s="5">
        <v>75000.0</v>
      </c>
      <c r="C81" s="4" t="s">
        <v>1332</v>
      </c>
      <c r="D81" s="6">
        <v>-0.52</v>
      </c>
      <c r="E81" s="5">
        <v>121.0</v>
      </c>
      <c r="F81" s="4" t="s">
        <v>324</v>
      </c>
      <c r="G81" s="4" t="s">
        <v>41</v>
      </c>
      <c r="H81" s="4" t="s">
        <v>1333</v>
      </c>
      <c r="I81" s="7"/>
      <c r="J81" s="7"/>
      <c r="K81" s="7"/>
    </row>
    <row r="82" ht="15.75" customHeight="1">
      <c r="A82" s="4" t="s">
        <v>1405</v>
      </c>
      <c r="B82" s="5">
        <v>75000.0</v>
      </c>
      <c r="C82" s="4" t="s">
        <v>975</v>
      </c>
      <c r="D82" s="6">
        <v>-0.59</v>
      </c>
      <c r="E82" s="5">
        <v>4.0</v>
      </c>
      <c r="F82" s="4" t="s">
        <v>569</v>
      </c>
      <c r="G82" s="4" t="s">
        <v>66</v>
      </c>
      <c r="H82" s="4" t="s">
        <v>1406</v>
      </c>
      <c r="I82" s="7"/>
      <c r="J82" s="7"/>
      <c r="K82" s="7"/>
    </row>
    <row r="83" ht="15.75" customHeight="1">
      <c r="A83" s="4" t="s">
        <v>1437</v>
      </c>
      <c r="B83" s="5">
        <v>75000.0</v>
      </c>
      <c r="C83" s="4" t="s">
        <v>1438</v>
      </c>
      <c r="D83" s="6">
        <v>-0.66</v>
      </c>
      <c r="E83" s="5">
        <v>278.0</v>
      </c>
      <c r="F83" s="4" t="s">
        <v>198</v>
      </c>
      <c r="G83" s="4" t="s">
        <v>66</v>
      </c>
      <c r="H83" s="4" t="s">
        <v>1439</v>
      </c>
      <c r="I83" s="7"/>
      <c r="J83" s="7"/>
      <c r="K83" s="7"/>
    </row>
    <row r="84" ht="15.75" customHeight="1">
      <c r="A84" s="4" t="s">
        <v>210</v>
      </c>
      <c r="B84" s="5">
        <v>76900.0</v>
      </c>
      <c r="C84" s="4" t="s">
        <v>11</v>
      </c>
      <c r="D84" s="6" t="s">
        <v>11</v>
      </c>
      <c r="E84" s="5">
        <v>885.0</v>
      </c>
      <c r="F84" s="4" t="s">
        <v>198</v>
      </c>
      <c r="G84" s="4" t="s">
        <v>115</v>
      </c>
      <c r="H84" s="4" t="s">
        <v>211</v>
      </c>
      <c r="I84" s="7"/>
      <c r="J84" s="7"/>
      <c r="K84" s="7"/>
    </row>
    <row r="85" ht="15.75" customHeight="1">
      <c r="A85" s="4" t="s">
        <v>340</v>
      </c>
      <c r="B85" s="5">
        <v>76900.0</v>
      </c>
      <c r="C85" s="4" t="s">
        <v>11</v>
      </c>
      <c r="D85" s="6" t="s">
        <v>11</v>
      </c>
      <c r="E85" s="5">
        <v>71.0</v>
      </c>
      <c r="F85" s="4" t="s">
        <v>324</v>
      </c>
      <c r="G85" s="4" t="s">
        <v>131</v>
      </c>
      <c r="H85" s="4" t="s">
        <v>341</v>
      </c>
      <c r="I85" s="7"/>
      <c r="J85" s="7"/>
      <c r="K85" s="7"/>
    </row>
    <row r="86" ht="15.75" customHeight="1">
      <c r="A86" s="4" t="s">
        <v>342</v>
      </c>
      <c r="B86" s="5">
        <v>77000.0</v>
      </c>
      <c r="C86" s="4" t="s">
        <v>11</v>
      </c>
      <c r="D86" s="6" t="s">
        <v>11</v>
      </c>
      <c r="E86" s="5">
        <v>1000.0</v>
      </c>
      <c r="F86" s="4" t="s">
        <v>324</v>
      </c>
      <c r="G86" s="4" t="s">
        <v>66</v>
      </c>
      <c r="H86" s="4" t="s">
        <v>343</v>
      </c>
      <c r="I86" s="7"/>
      <c r="J86" s="7"/>
      <c r="K86" s="7"/>
    </row>
    <row r="87" ht="15.75" customHeight="1">
      <c r="A87" s="4" t="s">
        <v>596</v>
      </c>
      <c r="B87" s="5">
        <v>77500.0</v>
      </c>
      <c r="C87" s="4" t="s">
        <v>11</v>
      </c>
      <c r="D87" s="6" t="s">
        <v>11</v>
      </c>
      <c r="E87" s="5">
        <v>2.0</v>
      </c>
      <c r="F87" s="4" t="s">
        <v>569</v>
      </c>
      <c r="G87" s="4" t="s">
        <v>83</v>
      </c>
      <c r="H87" s="4" t="s">
        <v>597</v>
      </c>
      <c r="I87" s="7"/>
      <c r="J87" s="7"/>
      <c r="K87" s="7"/>
    </row>
    <row r="88" ht="15.75" customHeight="1">
      <c r="A88" s="4" t="s">
        <v>993</v>
      </c>
      <c r="B88" s="5">
        <v>78300.0</v>
      </c>
      <c r="C88" s="4" t="s">
        <v>958</v>
      </c>
      <c r="D88" s="6">
        <v>-0.25</v>
      </c>
      <c r="E88" s="5">
        <v>54.0</v>
      </c>
      <c r="F88" s="4" t="s">
        <v>324</v>
      </c>
      <c r="G88" s="4" t="s">
        <v>37</v>
      </c>
      <c r="H88" s="4" t="s">
        <v>994</v>
      </c>
      <c r="I88" s="7"/>
      <c r="J88" s="7"/>
      <c r="K88" s="7"/>
    </row>
    <row r="89" ht="15.75" customHeight="1">
      <c r="A89" s="4" t="s">
        <v>212</v>
      </c>
      <c r="B89" s="5">
        <v>79000.0</v>
      </c>
      <c r="C89" s="4" t="s">
        <v>11</v>
      </c>
      <c r="D89" s="6" t="s">
        <v>11</v>
      </c>
      <c r="E89" s="5">
        <v>45.0</v>
      </c>
      <c r="F89" s="4" t="s">
        <v>198</v>
      </c>
      <c r="G89" s="4" t="s">
        <v>57</v>
      </c>
      <c r="H89" s="4" t="s">
        <v>213</v>
      </c>
      <c r="I89" s="7"/>
      <c r="J89" s="7"/>
      <c r="K89" s="7"/>
    </row>
    <row r="90" ht="15.75" customHeight="1">
      <c r="A90" s="4" t="s">
        <v>1290</v>
      </c>
      <c r="B90" s="5">
        <v>79500.0</v>
      </c>
      <c r="C90" s="4" t="s">
        <v>1220</v>
      </c>
      <c r="D90" s="6">
        <v>-0.5</v>
      </c>
      <c r="E90" s="5">
        <v>61.0</v>
      </c>
      <c r="F90" s="4" t="s">
        <v>157</v>
      </c>
      <c r="G90" s="4" t="s">
        <v>66</v>
      </c>
      <c r="H90" s="4" t="s">
        <v>1291</v>
      </c>
      <c r="I90" s="7"/>
      <c r="J90" s="7"/>
      <c r="K90" s="7"/>
    </row>
    <row r="91" ht="15.75" customHeight="1">
      <c r="A91" s="4" t="s">
        <v>1018</v>
      </c>
      <c r="B91" s="5">
        <v>79999.0</v>
      </c>
      <c r="C91" s="4" t="s">
        <v>1019</v>
      </c>
      <c r="D91" s="6">
        <v>-0.31</v>
      </c>
      <c r="E91" s="5">
        <v>233.0</v>
      </c>
      <c r="F91" s="4" t="s">
        <v>1020</v>
      </c>
      <c r="G91" s="4" t="s">
        <v>66</v>
      </c>
      <c r="H91" s="4" t="s">
        <v>1021</v>
      </c>
      <c r="I91" s="7"/>
      <c r="J91" s="7"/>
      <c r="K91" s="7"/>
    </row>
    <row r="92" ht="15.75" customHeight="1">
      <c r="A92" s="4" t="s">
        <v>344</v>
      </c>
      <c r="B92" s="5">
        <v>80200.0</v>
      </c>
      <c r="C92" s="4" t="s">
        <v>11</v>
      </c>
      <c r="D92" s="6" t="s">
        <v>11</v>
      </c>
      <c r="E92" s="5">
        <v>278.0</v>
      </c>
      <c r="F92" s="4" t="s">
        <v>324</v>
      </c>
      <c r="G92" s="4" t="s">
        <v>41</v>
      </c>
      <c r="H92" s="4" t="s">
        <v>345</v>
      </c>
      <c r="I92" s="7"/>
      <c r="J92" s="7"/>
      <c r="K92" s="7"/>
    </row>
    <row r="93" ht="15.75" customHeight="1">
      <c r="A93" s="4" t="s">
        <v>38</v>
      </c>
      <c r="B93" s="5">
        <v>82000.0</v>
      </c>
      <c r="C93" s="4" t="s">
        <v>11</v>
      </c>
      <c r="D93" s="6" t="s">
        <v>11</v>
      </c>
      <c r="E93" s="5">
        <v>2.0</v>
      </c>
      <c r="F93" s="4" t="s">
        <v>39</v>
      </c>
      <c r="G93" s="4" t="s">
        <v>12</v>
      </c>
      <c r="H93" s="4" t="s">
        <v>40</v>
      </c>
      <c r="I93" s="7"/>
      <c r="J93" s="8" t="s">
        <v>41</v>
      </c>
      <c r="K93" s="7">
        <v>131.0</v>
      </c>
    </row>
    <row r="94" ht="15.75" customHeight="1">
      <c r="A94" s="4" t="s">
        <v>346</v>
      </c>
      <c r="B94" s="5">
        <v>82000.0</v>
      </c>
      <c r="C94" s="4" t="s">
        <v>11</v>
      </c>
      <c r="D94" s="6" t="s">
        <v>11</v>
      </c>
      <c r="E94" s="5">
        <v>139.0</v>
      </c>
      <c r="F94" s="4" t="s">
        <v>324</v>
      </c>
      <c r="G94" s="4" t="s">
        <v>29</v>
      </c>
      <c r="H94" s="4" t="s">
        <v>347</v>
      </c>
      <c r="I94" s="7"/>
      <c r="J94" s="7"/>
      <c r="K94" s="7"/>
    </row>
    <row r="95" ht="15.75" customHeight="1">
      <c r="A95" s="4" t="s">
        <v>1447</v>
      </c>
      <c r="B95" s="5">
        <v>82000.0</v>
      </c>
      <c r="C95" s="4" t="s">
        <v>1391</v>
      </c>
      <c r="D95" s="6">
        <v>-0.69</v>
      </c>
      <c r="E95" s="5">
        <v>28.0</v>
      </c>
      <c r="F95" s="4" t="s">
        <v>114</v>
      </c>
      <c r="G95" s="4" t="s">
        <v>66</v>
      </c>
      <c r="H95" s="4" t="s">
        <v>1448</v>
      </c>
      <c r="I95" s="7"/>
      <c r="J95" s="7"/>
      <c r="K95" s="7"/>
    </row>
    <row r="96" ht="15.75" customHeight="1">
      <c r="A96" s="4" t="s">
        <v>348</v>
      </c>
      <c r="B96" s="5">
        <v>82300.0</v>
      </c>
      <c r="C96" s="4" t="s">
        <v>11</v>
      </c>
      <c r="D96" s="6" t="s">
        <v>11</v>
      </c>
      <c r="E96" s="5">
        <v>205.0</v>
      </c>
      <c r="F96" s="4" t="s">
        <v>324</v>
      </c>
      <c r="G96" s="4" t="s">
        <v>57</v>
      </c>
      <c r="H96" s="4" t="s">
        <v>349</v>
      </c>
      <c r="I96" s="7"/>
      <c r="J96" s="7"/>
      <c r="K96" s="7"/>
    </row>
    <row r="97" ht="15.75" customHeight="1">
      <c r="A97" s="4" t="s">
        <v>214</v>
      </c>
      <c r="B97" s="5">
        <v>83500.0</v>
      </c>
      <c r="C97" s="4" t="s">
        <v>11</v>
      </c>
      <c r="D97" s="6" t="s">
        <v>11</v>
      </c>
      <c r="E97" s="5">
        <v>290.0</v>
      </c>
      <c r="F97" s="4" t="s">
        <v>198</v>
      </c>
      <c r="G97" s="4" t="s">
        <v>35</v>
      </c>
      <c r="H97" s="4" t="s">
        <v>215</v>
      </c>
      <c r="I97" s="7"/>
      <c r="J97" s="7"/>
      <c r="K97" s="7"/>
    </row>
    <row r="98" ht="15.75" customHeight="1">
      <c r="A98" s="4" t="s">
        <v>350</v>
      </c>
      <c r="B98" s="5">
        <v>83900.0</v>
      </c>
      <c r="C98" s="4" t="s">
        <v>11</v>
      </c>
      <c r="D98" s="6" t="s">
        <v>11</v>
      </c>
      <c r="E98" s="5">
        <v>8.0</v>
      </c>
      <c r="F98" s="4" t="s">
        <v>324</v>
      </c>
      <c r="G98" s="4" t="s">
        <v>115</v>
      </c>
      <c r="H98" s="4" t="s">
        <v>351</v>
      </c>
      <c r="I98" s="7"/>
      <c r="J98" s="7"/>
      <c r="K98" s="7"/>
    </row>
    <row r="99" ht="15.75" customHeight="1">
      <c r="A99" s="4" t="s">
        <v>350</v>
      </c>
      <c r="B99" s="5">
        <v>83900.0</v>
      </c>
      <c r="C99" s="4" t="s">
        <v>11</v>
      </c>
      <c r="D99" s="6" t="s">
        <v>11</v>
      </c>
      <c r="E99" s="5">
        <v>11.0</v>
      </c>
      <c r="F99" s="4" t="s">
        <v>569</v>
      </c>
      <c r="G99" s="4" t="s">
        <v>115</v>
      </c>
      <c r="H99" s="4" t="s">
        <v>598</v>
      </c>
      <c r="I99" s="7"/>
      <c r="J99" s="7"/>
      <c r="K99" s="7"/>
    </row>
    <row r="100" ht="15.75" customHeight="1">
      <c r="A100" s="4" t="s">
        <v>447</v>
      </c>
      <c r="B100" s="5">
        <v>84500.0</v>
      </c>
      <c r="C100" s="4" t="s">
        <v>11</v>
      </c>
      <c r="D100" s="6" t="s">
        <v>11</v>
      </c>
      <c r="E100" s="6" t="s">
        <v>11</v>
      </c>
      <c r="F100" s="4" t="s">
        <v>439</v>
      </c>
      <c r="G100" s="4" t="s">
        <v>64</v>
      </c>
      <c r="H100" s="4" t="s">
        <v>448</v>
      </c>
      <c r="I100" s="7"/>
      <c r="J100" s="7"/>
      <c r="K100" s="7"/>
    </row>
    <row r="101" ht="15.75" customHeight="1">
      <c r="A101" s="4" t="s">
        <v>216</v>
      </c>
      <c r="B101" s="5">
        <v>84800.0</v>
      </c>
      <c r="C101" s="4" t="s">
        <v>11</v>
      </c>
      <c r="D101" s="6" t="s">
        <v>11</v>
      </c>
      <c r="E101" s="5">
        <v>635.0</v>
      </c>
      <c r="F101" s="4" t="s">
        <v>198</v>
      </c>
      <c r="G101" s="4" t="s">
        <v>16</v>
      </c>
      <c r="H101" s="4" t="s">
        <v>217</v>
      </c>
      <c r="I101" s="7"/>
      <c r="J101" s="7"/>
      <c r="K101" s="7"/>
    </row>
    <row r="102" ht="15.75" customHeight="1">
      <c r="A102" s="4" t="s">
        <v>599</v>
      </c>
      <c r="B102" s="5">
        <v>85000.0</v>
      </c>
      <c r="C102" s="4" t="s">
        <v>11</v>
      </c>
      <c r="D102" s="6" t="s">
        <v>11</v>
      </c>
      <c r="E102" s="5">
        <v>6.0</v>
      </c>
      <c r="F102" s="4" t="s">
        <v>569</v>
      </c>
      <c r="G102" s="4" t="s">
        <v>88</v>
      </c>
      <c r="H102" s="4" t="s">
        <v>600</v>
      </c>
      <c r="I102" s="7"/>
      <c r="J102" s="7"/>
      <c r="K102" s="7"/>
    </row>
    <row r="103" ht="15.75" customHeight="1">
      <c r="A103" s="4" t="s">
        <v>601</v>
      </c>
      <c r="B103" s="5">
        <v>85000.0</v>
      </c>
      <c r="C103" s="4" t="s">
        <v>11</v>
      </c>
      <c r="D103" s="6" t="s">
        <v>11</v>
      </c>
      <c r="E103" s="5">
        <v>15.0</v>
      </c>
      <c r="F103" s="4" t="s">
        <v>569</v>
      </c>
      <c r="G103" s="4" t="s">
        <v>12</v>
      </c>
      <c r="H103" s="4" t="s">
        <v>602</v>
      </c>
      <c r="I103" s="7"/>
      <c r="J103" s="7"/>
      <c r="K103" s="7"/>
    </row>
    <row r="104" ht="15.75" customHeight="1">
      <c r="A104" s="4" t="s">
        <v>603</v>
      </c>
      <c r="B104" s="5">
        <v>85000.0</v>
      </c>
      <c r="C104" s="4" t="s">
        <v>11</v>
      </c>
      <c r="D104" s="6" t="s">
        <v>11</v>
      </c>
      <c r="E104" s="5">
        <v>10.0</v>
      </c>
      <c r="F104" s="4" t="s">
        <v>569</v>
      </c>
      <c r="G104" s="4" t="s">
        <v>115</v>
      </c>
      <c r="H104" s="4" t="s">
        <v>604</v>
      </c>
      <c r="I104" s="7"/>
      <c r="J104" s="7"/>
      <c r="K104" s="7"/>
    </row>
    <row r="105" ht="15.75" customHeight="1">
      <c r="A105" s="4" t="s">
        <v>605</v>
      </c>
      <c r="B105" s="5">
        <v>85000.0</v>
      </c>
      <c r="C105" s="4" t="s">
        <v>11</v>
      </c>
      <c r="D105" s="6" t="s">
        <v>11</v>
      </c>
      <c r="E105" s="5">
        <v>17.0</v>
      </c>
      <c r="F105" s="4" t="s">
        <v>569</v>
      </c>
      <c r="G105" s="4" t="s">
        <v>16</v>
      </c>
      <c r="H105" s="4" t="s">
        <v>606</v>
      </c>
      <c r="I105" s="7"/>
      <c r="J105" s="7"/>
      <c r="K105" s="7"/>
    </row>
    <row r="106" ht="15.75" customHeight="1">
      <c r="A106" s="4" t="s">
        <v>1340</v>
      </c>
      <c r="B106" s="5">
        <v>85000.0</v>
      </c>
      <c r="C106" s="4" t="s">
        <v>1341</v>
      </c>
      <c r="D106" s="6">
        <v>-0.53</v>
      </c>
      <c r="E106" s="5">
        <v>305.0</v>
      </c>
      <c r="F106" s="4" t="s">
        <v>324</v>
      </c>
      <c r="G106" s="4" t="s">
        <v>41</v>
      </c>
      <c r="H106" s="4" t="s">
        <v>1342</v>
      </c>
      <c r="I106" s="7"/>
      <c r="J106" s="7"/>
      <c r="K106" s="7"/>
    </row>
    <row r="107" ht="15.75" customHeight="1">
      <c r="A107" s="4" t="s">
        <v>1360</v>
      </c>
      <c r="B107" s="5">
        <v>85000.0</v>
      </c>
      <c r="C107" s="4" t="s">
        <v>1361</v>
      </c>
      <c r="D107" s="6">
        <v>-0.55</v>
      </c>
      <c r="E107" s="5">
        <v>972.0</v>
      </c>
      <c r="F107" s="4" t="s">
        <v>114</v>
      </c>
      <c r="G107" s="4" t="s">
        <v>66</v>
      </c>
      <c r="H107" s="4" t="s">
        <v>1362</v>
      </c>
      <c r="I107" s="7"/>
      <c r="J107" s="7"/>
      <c r="K107" s="7"/>
    </row>
    <row r="108" ht="15.75" customHeight="1">
      <c r="A108" s="4" t="s">
        <v>607</v>
      </c>
      <c r="B108" s="5">
        <v>85900.0</v>
      </c>
      <c r="C108" s="4" t="s">
        <v>11</v>
      </c>
      <c r="D108" s="6" t="s">
        <v>11</v>
      </c>
      <c r="E108" s="5">
        <v>324.0</v>
      </c>
      <c r="F108" s="4" t="s">
        <v>569</v>
      </c>
      <c r="G108" s="4" t="s">
        <v>16</v>
      </c>
      <c r="H108" s="4" t="s">
        <v>608</v>
      </c>
      <c r="I108" s="7"/>
      <c r="J108" s="7"/>
      <c r="K108" s="7"/>
    </row>
    <row r="109" ht="15.75" customHeight="1">
      <c r="A109" s="4" t="s">
        <v>218</v>
      </c>
      <c r="B109" s="5">
        <v>85999.0</v>
      </c>
      <c r="C109" s="4" t="s">
        <v>11</v>
      </c>
      <c r="D109" s="6" t="s">
        <v>11</v>
      </c>
      <c r="E109" s="5">
        <v>393.0</v>
      </c>
      <c r="F109" s="4" t="s">
        <v>198</v>
      </c>
      <c r="G109" s="4" t="s">
        <v>115</v>
      </c>
      <c r="H109" s="4" t="s">
        <v>219</v>
      </c>
      <c r="I109" s="7"/>
      <c r="J109" s="7"/>
      <c r="K109" s="7"/>
    </row>
    <row r="110" ht="15.75" customHeight="1">
      <c r="A110" s="4" t="s">
        <v>220</v>
      </c>
      <c r="B110" s="5">
        <v>86000.0</v>
      </c>
      <c r="C110" s="4" t="s">
        <v>11</v>
      </c>
      <c r="D110" s="6" t="s">
        <v>11</v>
      </c>
      <c r="E110" s="5">
        <v>74.0</v>
      </c>
      <c r="F110" s="4" t="s">
        <v>198</v>
      </c>
      <c r="G110" s="4" t="s">
        <v>117</v>
      </c>
      <c r="H110" s="4" t="s">
        <v>221</v>
      </c>
      <c r="I110" s="7"/>
      <c r="J110" s="7"/>
      <c r="K110" s="7"/>
    </row>
    <row r="111" ht="15.75" customHeight="1">
      <c r="A111" s="4" t="s">
        <v>1158</v>
      </c>
      <c r="B111" s="5">
        <v>86000.0</v>
      </c>
      <c r="C111" s="4" t="s">
        <v>996</v>
      </c>
      <c r="D111" s="6">
        <v>-0.42</v>
      </c>
      <c r="E111" s="5">
        <v>5000.0</v>
      </c>
      <c r="F111" s="4" t="s">
        <v>324</v>
      </c>
      <c r="G111" s="4" t="s">
        <v>12</v>
      </c>
      <c r="H111" s="4" t="s">
        <v>1159</v>
      </c>
      <c r="I111" s="7"/>
      <c r="J111" s="7"/>
      <c r="K111" s="7"/>
    </row>
    <row r="112" ht="15.75" customHeight="1">
      <c r="A112" s="4" t="s">
        <v>352</v>
      </c>
      <c r="B112" s="5">
        <v>86100.0</v>
      </c>
      <c r="C112" s="4" t="s">
        <v>11</v>
      </c>
      <c r="D112" s="6" t="s">
        <v>11</v>
      </c>
      <c r="E112" s="5">
        <v>14.0</v>
      </c>
      <c r="F112" s="4" t="s">
        <v>324</v>
      </c>
      <c r="G112" s="4" t="s">
        <v>12</v>
      </c>
      <c r="H112" s="4" t="s">
        <v>353</v>
      </c>
      <c r="I112" s="7"/>
      <c r="J112" s="7"/>
      <c r="K112" s="7"/>
    </row>
    <row r="113" ht="15.75" customHeight="1">
      <c r="A113" s="4" t="s">
        <v>1062</v>
      </c>
      <c r="B113" s="5">
        <v>87500.0</v>
      </c>
      <c r="C113" s="4" t="s">
        <v>1063</v>
      </c>
      <c r="D113" s="6">
        <v>-0.36</v>
      </c>
      <c r="E113" s="5">
        <v>97.0</v>
      </c>
      <c r="F113" s="4" t="s">
        <v>157</v>
      </c>
      <c r="G113" s="4" t="s">
        <v>66</v>
      </c>
      <c r="H113" s="4" t="s">
        <v>1064</v>
      </c>
      <c r="I113" s="7"/>
      <c r="J113" s="7"/>
      <c r="K113" s="7"/>
    </row>
    <row r="114" ht="15.75" customHeight="1">
      <c r="A114" s="4" t="s">
        <v>1165</v>
      </c>
      <c r="B114" s="5">
        <v>87600.0</v>
      </c>
      <c r="C114" s="4" t="s">
        <v>996</v>
      </c>
      <c r="D114" s="6">
        <v>-0.43</v>
      </c>
      <c r="E114" s="5">
        <v>246.0</v>
      </c>
      <c r="F114" s="4" t="s">
        <v>157</v>
      </c>
      <c r="G114" s="4" t="s">
        <v>66</v>
      </c>
      <c r="H114" s="4" t="s">
        <v>1166</v>
      </c>
      <c r="I114" s="7"/>
      <c r="J114" s="7"/>
      <c r="K114" s="7"/>
    </row>
    <row r="115" ht="15.75" customHeight="1">
      <c r="A115" s="4" t="s">
        <v>449</v>
      </c>
      <c r="B115" s="5">
        <v>88000.0</v>
      </c>
      <c r="C115" s="4" t="s">
        <v>11</v>
      </c>
      <c r="D115" s="6" t="s">
        <v>11</v>
      </c>
      <c r="E115" s="6" t="s">
        <v>11</v>
      </c>
      <c r="F115" s="4" t="s">
        <v>439</v>
      </c>
      <c r="G115" s="4" t="s">
        <v>115</v>
      </c>
      <c r="H115" s="4" t="s">
        <v>450</v>
      </c>
      <c r="I115" s="7"/>
      <c r="J115" s="7"/>
      <c r="K115" s="7"/>
    </row>
    <row r="116" ht="15.75" customHeight="1">
      <c r="A116" s="4" t="s">
        <v>968</v>
      </c>
      <c r="B116" s="5">
        <v>88000.0</v>
      </c>
      <c r="C116" s="4" t="s">
        <v>969</v>
      </c>
      <c r="D116" s="6">
        <v>-0.23</v>
      </c>
      <c r="E116" s="5">
        <v>245.0</v>
      </c>
      <c r="F116" s="4" t="s">
        <v>198</v>
      </c>
      <c r="G116" s="4" t="s">
        <v>66</v>
      </c>
      <c r="H116" s="4" t="s">
        <v>970</v>
      </c>
      <c r="I116" s="7"/>
      <c r="J116" s="7"/>
      <c r="K116" s="7"/>
    </row>
    <row r="117" ht="15.75" customHeight="1">
      <c r="A117" s="4" t="s">
        <v>1099</v>
      </c>
      <c r="B117" s="5">
        <v>88900.0</v>
      </c>
      <c r="C117" s="4" t="s">
        <v>1100</v>
      </c>
      <c r="D117" s="6">
        <v>-0.38</v>
      </c>
      <c r="E117" s="5">
        <v>61.0</v>
      </c>
      <c r="F117" s="4" t="s">
        <v>324</v>
      </c>
      <c r="G117" s="4" t="s">
        <v>49</v>
      </c>
      <c r="H117" s="4" t="s">
        <v>1101</v>
      </c>
      <c r="I117" s="7"/>
      <c r="J117" s="7"/>
      <c r="K117" s="7"/>
    </row>
    <row r="118" ht="15.75" customHeight="1">
      <c r="A118" s="4" t="s">
        <v>222</v>
      </c>
      <c r="B118" s="5">
        <v>89000.0</v>
      </c>
      <c r="C118" s="4" t="s">
        <v>11</v>
      </c>
      <c r="D118" s="6" t="s">
        <v>11</v>
      </c>
      <c r="E118" s="5">
        <v>894.0</v>
      </c>
      <c r="F118" s="4" t="s">
        <v>198</v>
      </c>
      <c r="G118" s="4" t="s">
        <v>66</v>
      </c>
      <c r="H118" s="4" t="s">
        <v>223</v>
      </c>
      <c r="I118" s="7"/>
      <c r="J118" s="7"/>
      <c r="K118" s="7"/>
    </row>
    <row r="119" ht="15.75" customHeight="1">
      <c r="A119" s="4" t="s">
        <v>977</v>
      </c>
      <c r="B119" s="5">
        <v>89000.0</v>
      </c>
      <c r="C119" s="4" t="s">
        <v>969</v>
      </c>
      <c r="D119" s="6">
        <v>-0.24</v>
      </c>
      <c r="E119" s="5">
        <v>34.0</v>
      </c>
      <c r="F119" s="4" t="s">
        <v>101</v>
      </c>
      <c r="G119" s="4" t="s">
        <v>66</v>
      </c>
      <c r="H119" s="4" t="s">
        <v>978</v>
      </c>
      <c r="I119" s="7"/>
      <c r="J119" s="7"/>
      <c r="K119" s="7"/>
    </row>
    <row r="120" ht="15.75" customHeight="1">
      <c r="A120" s="4" t="s">
        <v>1051</v>
      </c>
      <c r="B120" s="5">
        <v>89000.0</v>
      </c>
      <c r="C120" s="4" t="s">
        <v>1052</v>
      </c>
      <c r="D120" s="6">
        <v>-0.34</v>
      </c>
      <c r="E120" s="5">
        <v>7.0</v>
      </c>
      <c r="F120" s="4" t="s">
        <v>157</v>
      </c>
      <c r="G120" s="4" t="s">
        <v>66</v>
      </c>
      <c r="H120" s="4" t="s">
        <v>1053</v>
      </c>
      <c r="I120" s="7"/>
      <c r="J120" s="7"/>
      <c r="K120" s="7"/>
    </row>
    <row r="121" ht="15.75" customHeight="1">
      <c r="A121" s="4" t="s">
        <v>1114</v>
      </c>
      <c r="B121" s="5">
        <v>89000.0</v>
      </c>
      <c r="C121" s="4" t="s">
        <v>1115</v>
      </c>
      <c r="D121" s="6">
        <v>-0.4</v>
      </c>
      <c r="E121" s="5">
        <v>9000.0</v>
      </c>
      <c r="F121" s="4" t="s">
        <v>198</v>
      </c>
      <c r="G121" s="4" t="s">
        <v>49</v>
      </c>
      <c r="H121" s="4" t="s">
        <v>1116</v>
      </c>
      <c r="I121" s="7"/>
      <c r="J121" s="7"/>
      <c r="K121" s="7"/>
    </row>
    <row r="122" ht="15.75" customHeight="1">
      <c r="A122" s="4" t="s">
        <v>1279</v>
      </c>
      <c r="B122" s="5">
        <v>89000.0</v>
      </c>
      <c r="C122" s="4" t="s">
        <v>1280</v>
      </c>
      <c r="D122" s="6">
        <v>-0.5</v>
      </c>
      <c r="E122" s="5">
        <v>2000.0</v>
      </c>
      <c r="F122" s="4" t="s">
        <v>101</v>
      </c>
      <c r="G122" s="4" t="s">
        <v>41</v>
      </c>
      <c r="H122" s="4" t="s">
        <v>1281</v>
      </c>
      <c r="I122" s="7"/>
      <c r="J122" s="7"/>
      <c r="K122" s="7"/>
    </row>
    <row r="123" ht="15.75" customHeight="1">
      <c r="A123" s="4" t="s">
        <v>609</v>
      </c>
      <c r="B123" s="5">
        <v>89800.0</v>
      </c>
      <c r="C123" s="4" t="s">
        <v>11</v>
      </c>
      <c r="D123" s="6" t="s">
        <v>11</v>
      </c>
      <c r="E123" s="5">
        <v>4.0</v>
      </c>
      <c r="F123" s="4" t="s">
        <v>569</v>
      </c>
      <c r="G123" s="4" t="s">
        <v>134</v>
      </c>
      <c r="H123" s="4" t="s">
        <v>610</v>
      </c>
      <c r="I123" s="7"/>
      <c r="J123" s="7"/>
      <c r="K123" s="7"/>
    </row>
    <row r="124" ht="15.75" customHeight="1">
      <c r="A124" s="4" t="s">
        <v>224</v>
      </c>
      <c r="B124" s="5">
        <v>89999.0</v>
      </c>
      <c r="C124" s="4" t="s">
        <v>11</v>
      </c>
      <c r="D124" s="6" t="s">
        <v>11</v>
      </c>
      <c r="E124" s="5">
        <v>15.0</v>
      </c>
      <c r="F124" s="4" t="s">
        <v>198</v>
      </c>
      <c r="G124" s="4" t="s">
        <v>18</v>
      </c>
      <c r="H124" s="4" t="s">
        <v>225</v>
      </c>
      <c r="I124" s="7"/>
      <c r="J124" s="7"/>
      <c r="K124" s="7"/>
    </row>
    <row r="125" ht="15.75" customHeight="1">
      <c r="A125" s="4" t="s">
        <v>486</v>
      </c>
      <c r="B125" s="5">
        <v>90000.0</v>
      </c>
      <c r="C125" s="4" t="s">
        <v>11</v>
      </c>
      <c r="D125" s="6" t="s">
        <v>11</v>
      </c>
      <c r="E125" s="5">
        <v>16.0</v>
      </c>
      <c r="F125" s="4" t="s">
        <v>476</v>
      </c>
      <c r="G125" s="4" t="s">
        <v>66</v>
      </c>
      <c r="H125" s="4" t="s">
        <v>487</v>
      </c>
      <c r="I125" s="7"/>
      <c r="J125" s="7"/>
      <c r="K125" s="7"/>
    </row>
    <row r="126" ht="15.75" customHeight="1">
      <c r="A126" s="4" t="s">
        <v>611</v>
      </c>
      <c r="B126" s="5">
        <v>90000.0</v>
      </c>
      <c r="C126" s="4" t="s">
        <v>11</v>
      </c>
      <c r="D126" s="6" t="s">
        <v>11</v>
      </c>
      <c r="E126" s="5">
        <v>1.0</v>
      </c>
      <c r="F126" s="4" t="s">
        <v>569</v>
      </c>
      <c r="G126" s="4" t="s">
        <v>12</v>
      </c>
      <c r="H126" s="4" t="s">
        <v>612</v>
      </c>
      <c r="I126" s="7"/>
      <c r="J126" s="7"/>
      <c r="K126" s="7"/>
    </row>
    <row r="127" ht="15.75" customHeight="1">
      <c r="A127" s="4" t="s">
        <v>1012</v>
      </c>
      <c r="B127" s="5">
        <v>90000.0</v>
      </c>
      <c r="C127" s="4" t="s">
        <v>1013</v>
      </c>
      <c r="D127" s="6">
        <v>-0.29</v>
      </c>
      <c r="E127" s="5">
        <v>2000.0</v>
      </c>
      <c r="F127" s="4" t="s">
        <v>324</v>
      </c>
      <c r="G127" s="4" t="s">
        <v>66</v>
      </c>
      <c r="H127" s="4" t="s">
        <v>1014</v>
      </c>
      <c r="I127" s="7"/>
      <c r="J127" s="7"/>
      <c r="K127" s="7"/>
    </row>
    <row r="128" ht="15.75" customHeight="1">
      <c r="A128" s="4" t="s">
        <v>1213</v>
      </c>
      <c r="B128" s="5">
        <v>90000.0</v>
      </c>
      <c r="C128" s="4" t="s">
        <v>996</v>
      </c>
      <c r="D128" s="6">
        <v>-0.45</v>
      </c>
      <c r="E128" s="5">
        <v>2000.0</v>
      </c>
      <c r="F128" s="4" t="s">
        <v>324</v>
      </c>
      <c r="G128" s="4" t="s">
        <v>41</v>
      </c>
      <c r="H128" s="4" t="s">
        <v>1214</v>
      </c>
      <c r="I128" s="7"/>
      <c r="J128" s="7"/>
      <c r="K128" s="7"/>
    </row>
    <row r="129" ht="15.75" customHeight="1">
      <c r="A129" s="4" t="s">
        <v>226</v>
      </c>
      <c r="B129" s="5">
        <v>91350.0</v>
      </c>
      <c r="C129" s="4" t="s">
        <v>11</v>
      </c>
      <c r="D129" s="6" t="s">
        <v>11</v>
      </c>
      <c r="E129" s="5">
        <v>370.0</v>
      </c>
      <c r="F129" s="4" t="s">
        <v>198</v>
      </c>
      <c r="G129" s="4" t="s">
        <v>41</v>
      </c>
      <c r="H129" s="4" t="s">
        <v>227</v>
      </c>
      <c r="I129" s="7"/>
      <c r="J129" s="7"/>
      <c r="K129" s="7"/>
    </row>
    <row r="130" ht="15.75" customHeight="1">
      <c r="A130" s="4" t="s">
        <v>613</v>
      </c>
      <c r="B130" s="5">
        <v>91900.0</v>
      </c>
      <c r="C130" s="4" t="s">
        <v>11</v>
      </c>
      <c r="D130" s="6" t="s">
        <v>11</v>
      </c>
      <c r="E130" s="5">
        <v>18.0</v>
      </c>
      <c r="F130" s="4" t="s">
        <v>569</v>
      </c>
      <c r="G130" s="4" t="s">
        <v>49</v>
      </c>
      <c r="H130" s="4" t="s">
        <v>614</v>
      </c>
      <c r="I130" s="7"/>
      <c r="J130" s="7"/>
      <c r="K130" s="7"/>
    </row>
    <row r="131" ht="15.75" customHeight="1">
      <c r="A131" s="4" t="s">
        <v>1015</v>
      </c>
      <c r="B131" s="5">
        <v>92353.0</v>
      </c>
      <c r="C131" s="4" t="s">
        <v>1016</v>
      </c>
      <c r="D131" s="6">
        <v>-0.3</v>
      </c>
      <c r="E131" s="5">
        <v>27.0</v>
      </c>
      <c r="F131" s="4" t="s">
        <v>114</v>
      </c>
      <c r="G131" s="4" t="s">
        <v>12</v>
      </c>
      <c r="H131" s="4" t="s">
        <v>1017</v>
      </c>
      <c r="I131" s="7"/>
      <c r="J131" s="7"/>
      <c r="K131" s="7"/>
    </row>
    <row r="132" ht="15.75" customHeight="1">
      <c r="A132" s="4" t="s">
        <v>305</v>
      </c>
      <c r="B132" s="5">
        <v>92500.0</v>
      </c>
      <c r="C132" s="4" t="s">
        <v>11</v>
      </c>
      <c r="D132" s="6" t="s">
        <v>11</v>
      </c>
      <c r="E132" s="6" t="s">
        <v>11</v>
      </c>
      <c r="F132" s="4" t="s">
        <v>303</v>
      </c>
      <c r="G132" s="4" t="s">
        <v>159</v>
      </c>
      <c r="H132" s="4" t="s">
        <v>306</v>
      </c>
      <c r="I132" s="7"/>
      <c r="J132" s="7"/>
      <c r="K132" s="7"/>
    </row>
    <row r="133" ht="15.75" customHeight="1">
      <c r="A133" s="4" t="s">
        <v>1001</v>
      </c>
      <c r="B133" s="5">
        <v>92788.0</v>
      </c>
      <c r="C133" s="4" t="s">
        <v>969</v>
      </c>
      <c r="D133" s="6">
        <v>-0.27</v>
      </c>
      <c r="E133" s="5">
        <v>149.0</v>
      </c>
      <c r="F133" s="4" t="s">
        <v>476</v>
      </c>
      <c r="G133" s="4" t="s">
        <v>66</v>
      </c>
      <c r="H133" s="4" t="s">
        <v>1002</v>
      </c>
      <c r="I133" s="7"/>
      <c r="J133" s="7"/>
      <c r="K133" s="7"/>
    </row>
    <row r="134" ht="15.75" customHeight="1">
      <c r="A134" s="4" t="s">
        <v>1210</v>
      </c>
      <c r="B134" s="5">
        <v>93000.0</v>
      </c>
      <c r="C134" s="4" t="s">
        <v>1211</v>
      </c>
      <c r="D134" s="6">
        <v>-0.45</v>
      </c>
      <c r="E134" s="5">
        <v>2000.0</v>
      </c>
      <c r="F134" s="4" t="s">
        <v>198</v>
      </c>
      <c r="G134" s="4" t="s">
        <v>66</v>
      </c>
      <c r="H134" s="4" t="s">
        <v>1212</v>
      </c>
      <c r="I134" s="7"/>
      <c r="J134" s="7"/>
      <c r="K134" s="7"/>
    </row>
    <row r="135" ht="15.75" customHeight="1">
      <c r="A135" s="4" t="s">
        <v>1425</v>
      </c>
      <c r="B135" s="5">
        <v>93000.0</v>
      </c>
      <c r="C135" s="4" t="s">
        <v>975</v>
      </c>
      <c r="D135" s="6">
        <v>-0.62</v>
      </c>
      <c r="E135" s="5">
        <v>140.0</v>
      </c>
      <c r="F135" s="4" t="s">
        <v>114</v>
      </c>
      <c r="G135" s="4" t="s">
        <v>66</v>
      </c>
      <c r="H135" s="4" t="s">
        <v>1426</v>
      </c>
      <c r="I135" s="7"/>
      <c r="J135" s="7"/>
      <c r="K135" s="7"/>
    </row>
    <row r="136" ht="15.75" customHeight="1">
      <c r="A136" s="4" t="s">
        <v>1422</v>
      </c>
      <c r="B136" s="5">
        <v>93480.0</v>
      </c>
      <c r="C136" s="4" t="s">
        <v>1423</v>
      </c>
      <c r="D136" s="6">
        <v>-0.61</v>
      </c>
      <c r="E136" s="5">
        <v>2.0</v>
      </c>
      <c r="F136" s="4" t="s">
        <v>569</v>
      </c>
      <c r="G136" s="4" t="s">
        <v>66</v>
      </c>
      <c r="H136" s="4" t="s">
        <v>1424</v>
      </c>
      <c r="I136" s="7"/>
      <c r="J136" s="7"/>
      <c r="K136" s="7"/>
    </row>
    <row r="137" ht="15.75" customHeight="1">
      <c r="A137" s="4" t="s">
        <v>615</v>
      </c>
      <c r="B137" s="5">
        <v>93500.0</v>
      </c>
      <c r="C137" s="4" t="s">
        <v>11</v>
      </c>
      <c r="D137" s="6" t="s">
        <v>11</v>
      </c>
      <c r="E137" s="5">
        <v>26.0</v>
      </c>
      <c r="F137" s="4" t="s">
        <v>569</v>
      </c>
      <c r="G137" s="4" t="s">
        <v>66</v>
      </c>
      <c r="H137" s="4" t="s">
        <v>616</v>
      </c>
      <c r="I137" s="7"/>
      <c r="J137" s="7"/>
      <c r="K137" s="7"/>
    </row>
    <row r="138" ht="15.75" customHeight="1">
      <c r="A138" s="4" t="s">
        <v>1235</v>
      </c>
      <c r="B138" s="5">
        <v>93500.0</v>
      </c>
      <c r="C138" s="4" t="s">
        <v>996</v>
      </c>
      <c r="D138" s="6">
        <v>-0.46</v>
      </c>
      <c r="E138" s="5">
        <v>6.0</v>
      </c>
      <c r="F138" s="4" t="s">
        <v>569</v>
      </c>
      <c r="G138" s="4" t="s">
        <v>66</v>
      </c>
      <c r="H138" s="4" t="s">
        <v>1236</v>
      </c>
      <c r="I138" s="7"/>
      <c r="J138" s="7"/>
      <c r="K138" s="7"/>
    </row>
    <row r="139" ht="15.75" customHeight="1">
      <c r="A139" s="4" t="s">
        <v>1222</v>
      </c>
      <c r="B139" s="5">
        <v>93800.0</v>
      </c>
      <c r="C139" s="4" t="s">
        <v>996</v>
      </c>
      <c r="D139" s="6">
        <v>-0.46</v>
      </c>
      <c r="E139" s="5">
        <v>337.0</v>
      </c>
      <c r="F139" s="4" t="s">
        <v>198</v>
      </c>
      <c r="G139" s="4" t="s">
        <v>66</v>
      </c>
      <c r="H139" s="4" t="s">
        <v>1223</v>
      </c>
      <c r="I139" s="7"/>
      <c r="J139" s="7"/>
      <c r="K139" s="7"/>
    </row>
    <row r="140" ht="15.75" customHeight="1">
      <c r="A140" s="4" t="s">
        <v>1227</v>
      </c>
      <c r="B140" s="5">
        <v>94000.0</v>
      </c>
      <c r="C140" s="4" t="s">
        <v>996</v>
      </c>
      <c r="D140" s="6">
        <v>-0.46</v>
      </c>
      <c r="E140" s="5">
        <v>323.0</v>
      </c>
      <c r="F140" s="4" t="s">
        <v>324</v>
      </c>
      <c r="G140" s="4" t="s">
        <v>66</v>
      </c>
      <c r="H140" s="4" t="s">
        <v>1228</v>
      </c>
      <c r="I140" s="7"/>
      <c r="J140" s="7"/>
      <c r="K140" s="7"/>
    </row>
    <row r="141" ht="15.75" customHeight="1">
      <c r="A141" s="4" t="s">
        <v>1393</v>
      </c>
      <c r="B141" s="5">
        <v>94000.0</v>
      </c>
      <c r="C141" s="4" t="s">
        <v>1394</v>
      </c>
      <c r="D141" s="6">
        <v>-0.58</v>
      </c>
      <c r="E141" s="5">
        <v>593.0</v>
      </c>
      <c r="F141" s="4" t="s">
        <v>324</v>
      </c>
      <c r="G141" s="4" t="s">
        <v>66</v>
      </c>
      <c r="H141" s="4" t="s">
        <v>1395</v>
      </c>
      <c r="I141" s="7"/>
      <c r="J141" s="7"/>
      <c r="K141" s="7"/>
    </row>
    <row r="142" ht="15.75" customHeight="1">
      <c r="A142" s="4" t="s">
        <v>1402</v>
      </c>
      <c r="B142" s="5">
        <v>94000.0</v>
      </c>
      <c r="C142" s="4" t="s">
        <v>1403</v>
      </c>
      <c r="D142" s="6">
        <v>-0.59</v>
      </c>
      <c r="E142" s="5">
        <v>32.0</v>
      </c>
      <c r="F142" s="4" t="s">
        <v>476</v>
      </c>
      <c r="G142" s="4" t="s">
        <v>66</v>
      </c>
      <c r="H142" s="4" t="s">
        <v>1404</v>
      </c>
      <c r="I142" s="7"/>
      <c r="J142" s="7"/>
      <c r="K142" s="7"/>
    </row>
    <row r="143" ht="15.75" customHeight="1">
      <c r="A143" s="4" t="s">
        <v>1357</v>
      </c>
      <c r="B143" s="5">
        <v>94273.0</v>
      </c>
      <c r="C143" s="4" t="s">
        <v>1358</v>
      </c>
      <c r="D143" s="6">
        <v>-0.54</v>
      </c>
      <c r="E143" s="5">
        <v>140.0</v>
      </c>
      <c r="F143" s="4" t="s">
        <v>324</v>
      </c>
      <c r="G143" s="4" t="s">
        <v>41</v>
      </c>
      <c r="H143" s="4" t="s">
        <v>1359</v>
      </c>
      <c r="I143" s="7"/>
      <c r="J143" s="7"/>
      <c r="K143" s="7"/>
    </row>
    <row r="144" ht="15.75" customHeight="1">
      <c r="A144" s="4" t="s">
        <v>1039</v>
      </c>
      <c r="B144" s="5">
        <v>94700.0</v>
      </c>
      <c r="C144" s="4" t="s">
        <v>1040</v>
      </c>
      <c r="D144" s="6">
        <v>-0.33</v>
      </c>
      <c r="E144" s="5">
        <v>110.0</v>
      </c>
      <c r="F144" s="4" t="s">
        <v>198</v>
      </c>
      <c r="G144" s="4" t="s">
        <v>66</v>
      </c>
      <c r="H144" s="4" t="s">
        <v>1041</v>
      </c>
      <c r="I144" s="7"/>
      <c r="J144" s="7"/>
      <c r="K144" s="7"/>
    </row>
    <row r="145" ht="15.75" customHeight="1">
      <c r="A145" s="4" t="s">
        <v>885</v>
      </c>
      <c r="B145" s="5">
        <v>95000.0</v>
      </c>
      <c r="C145" s="4" t="s">
        <v>886</v>
      </c>
      <c r="D145" s="6">
        <v>-0.07</v>
      </c>
      <c r="E145" s="5">
        <v>36.0</v>
      </c>
      <c r="F145" s="4" t="s">
        <v>198</v>
      </c>
      <c r="G145" s="4" t="s">
        <v>41</v>
      </c>
      <c r="H145" s="4" t="s">
        <v>887</v>
      </c>
      <c r="I145" s="7"/>
      <c r="J145" s="7"/>
      <c r="K145" s="7"/>
    </row>
    <row r="146" ht="15.75" customHeight="1">
      <c r="A146" s="4" t="s">
        <v>1048</v>
      </c>
      <c r="B146" s="5">
        <v>95000.0</v>
      </c>
      <c r="C146" s="4" t="s">
        <v>1049</v>
      </c>
      <c r="D146" s="6">
        <v>-0.34</v>
      </c>
      <c r="E146" s="5">
        <v>99.0</v>
      </c>
      <c r="F146" s="4" t="s">
        <v>114</v>
      </c>
      <c r="G146" s="4" t="s">
        <v>66</v>
      </c>
      <c r="H146" s="4" t="s">
        <v>1050</v>
      </c>
      <c r="I146" s="7"/>
      <c r="J146" s="7"/>
      <c r="K146" s="7"/>
    </row>
    <row r="147" ht="15.75" customHeight="1">
      <c r="A147" s="4" t="s">
        <v>58</v>
      </c>
      <c r="B147" s="5">
        <v>96500.0</v>
      </c>
      <c r="C147" s="4" t="s">
        <v>11</v>
      </c>
      <c r="D147" s="6" t="s">
        <v>11</v>
      </c>
      <c r="E147" s="5">
        <v>3.0</v>
      </c>
      <c r="F147" s="4" t="s">
        <v>59</v>
      </c>
      <c r="G147" s="4" t="s">
        <v>41</v>
      </c>
      <c r="H147" s="4" t="s">
        <v>60</v>
      </c>
      <c r="I147" s="7"/>
      <c r="J147" s="8" t="s">
        <v>61</v>
      </c>
      <c r="K147" s="7">
        <v>1.0</v>
      </c>
    </row>
    <row r="148" ht="15.75" customHeight="1">
      <c r="A148" s="4" t="s">
        <v>228</v>
      </c>
      <c r="B148" s="5">
        <v>96500.0</v>
      </c>
      <c r="C148" s="4" t="s">
        <v>11</v>
      </c>
      <c r="D148" s="6" t="s">
        <v>11</v>
      </c>
      <c r="E148" s="5">
        <v>758.0</v>
      </c>
      <c r="F148" s="4" t="s">
        <v>198</v>
      </c>
      <c r="G148" s="4" t="s">
        <v>18</v>
      </c>
      <c r="H148" s="4" t="s">
        <v>229</v>
      </c>
      <c r="I148" s="7"/>
      <c r="J148" s="7"/>
      <c r="K148" s="7"/>
    </row>
    <row r="149" ht="15.75" customHeight="1">
      <c r="A149" s="4" t="s">
        <v>488</v>
      </c>
      <c r="B149" s="5">
        <v>97000.0</v>
      </c>
      <c r="C149" s="4" t="s">
        <v>11</v>
      </c>
      <c r="D149" s="6" t="s">
        <v>11</v>
      </c>
      <c r="E149" s="5">
        <v>14.0</v>
      </c>
      <c r="F149" s="4" t="s">
        <v>476</v>
      </c>
      <c r="G149" s="4" t="s">
        <v>64</v>
      </c>
      <c r="H149" s="4" t="s">
        <v>489</v>
      </c>
      <c r="I149" s="7"/>
      <c r="J149" s="7"/>
      <c r="K149" s="7"/>
    </row>
    <row r="150" ht="15.75" customHeight="1">
      <c r="A150" s="4" t="s">
        <v>1337</v>
      </c>
      <c r="B150" s="5">
        <v>97220.0</v>
      </c>
      <c r="C150" s="4" t="s">
        <v>1338</v>
      </c>
      <c r="D150" s="6">
        <v>-0.53</v>
      </c>
      <c r="E150" s="5">
        <v>227.0</v>
      </c>
      <c r="F150" s="4" t="s">
        <v>198</v>
      </c>
      <c r="G150" s="4" t="s">
        <v>41</v>
      </c>
      <c r="H150" s="4" t="s">
        <v>1339</v>
      </c>
      <c r="I150" s="7"/>
      <c r="J150" s="7"/>
      <c r="K150" s="7"/>
    </row>
    <row r="151" ht="15.75" customHeight="1">
      <c r="A151" s="4" t="s">
        <v>1322</v>
      </c>
      <c r="B151" s="5">
        <v>97500.0</v>
      </c>
      <c r="C151" s="4" t="s">
        <v>1140</v>
      </c>
      <c r="D151" s="6">
        <v>-0.51</v>
      </c>
      <c r="E151" s="5">
        <v>8000.0</v>
      </c>
      <c r="F151" s="4" t="s">
        <v>198</v>
      </c>
      <c r="G151" s="4" t="s">
        <v>66</v>
      </c>
      <c r="H151" s="4" t="s">
        <v>1323</v>
      </c>
      <c r="I151" s="7"/>
      <c r="J151" s="7"/>
      <c r="K151" s="7"/>
    </row>
    <row r="152" ht="15.75" customHeight="1">
      <c r="A152" s="4" t="s">
        <v>1324</v>
      </c>
      <c r="B152" s="5">
        <v>97500.0</v>
      </c>
      <c r="C152" s="4" t="s">
        <v>1140</v>
      </c>
      <c r="D152" s="6">
        <v>-0.51</v>
      </c>
      <c r="E152" s="5">
        <v>460.0</v>
      </c>
      <c r="F152" s="4" t="s">
        <v>198</v>
      </c>
      <c r="G152" s="4" t="s">
        <v>66</v>
      </c>
      <c r="H152" s="4" t="s">
        <v>1325</v>
      </c>
      <c r="I152" s="7"/>
      <c r="J152" s="7"/>
      <c r="K152" s="7"/>
    </row>
    <row r="153" ht="15.75" customHeight="1">
      <c r="A153" s="4" t="s">
        <v>1351</v>
      </c>
      <c r="B153" s="5">
        <v>97500.0</v>
      </c>
      <c r="C153" s="4" t="s">
        <v>1352</v>
      </c>
      <c r="D153" s="6">
        <v>-0.54</v>
      </c>
      <c r="E153" s="5">
        <v>860.0</v>
      </c>
      <c r="F153" s="4" t="s">
        <v>198</v>
      </c>
      <c r="G153" s="4" t="s">
        <v>66</v>
      </c>
      <c r="H153" s="4" t="s">
        <v>1353</v>
      </c>
      <c r="I153" s="7"/>
      <c r="J153" s="7"/>
      <c r="K153" s="7"/>
    </row>
    <row r="154" ht="15.75" customHeight="1">
      <c r="A154" s="4" t="s">
        <v>160</v>
      </c>
      <c r="B154" s="5">
        <v>97900.0</v>
      </c>
      <c r="C154" s="4" t="s">
        <v>11</v>
      </c>
      <c r="D154" s="6" t="s">
        <v>11</v>
      </c>
      <c r="E154" s="5">
        <v>66.0</v>
      </c>
      <c r="F154" s="4" t="s">
        <v>157</v>
      </c>
      <c r="G154" s="4" t="s">
        <v>161</v>
      </c>
      <c r="H154" s="4" t="s">
        <v>162</v>
      </c>
      <c r="I154" s="7"/>
      <c r="J154" s="8" t="s">
        <v>16</v>
      </c>
      <c r="K154" s="7">
        <v>30.0</v>
      </c>
    </row>
    <row r="155" ht="15.75" customHeight="1">
      <c r="A155" s="4" t="s">
        <v>810</v>
      </c>
      <c r="B155" s="5">
        <v>97900.0</v>
      </c>
      <c r="C155" s="4" t="s">
        <v>811</v>
      </c>
      <c r="D155" s="6">
        <v>-0.01</v>
      </c>
      <c r="E155" s="5">
        <v>231.0</v>
      </c>
      <c r="F155" s="4" t="s">
        <v>476</v>
      </c>
      <c r="G155" s="4" t="s">
        <v>117</v>
      </c>
      <c r="H155" s="4" t="s">
        <v>812</v>
      </c>
      <c r="I155" s="7"/>
      <c r="J155" s="7"/>
      <c r="K155" s="7"/>
    </row>
    <row r="156" ht="15.75" customHeight="1">
      <c r="A156" s="4" t="s">
        <v>354</v>
      </c>
      <c r="B156" s="5">
        <v>98000.0</v>
      </c>
      <c r="C156" s="4" t="s">
        <v>11</v>
      </c>
      <c r="D156" s="6" t="s">
        <v>11</v>
      </c>
      <c r="E156" s="5">
        <v>30.0</v>
      </c>
      <c r="F156" s="4" t="s">
        <v>324</v>
      </c>
      <c r="G156" s="4" t="s">
        <v>45</v>
      </c>
      <c r="H156" s="4" t="s">
        <v>355</v>
      </c>
      <c r="I156" s="7"/>
      <c r="J156" s="7"/>
      <c r="K156" s="7"/>
    </row>
    <row r="157" ht="15.75" customHeight="1">
      <c r="A157" s="4" t="s">
        <v>899</v>
      </c>
      <c r="B157" s="5">
        <v>98000.0</v>
      </c>
      <c r="C157" s="4" t="s">
        <v>1347</v>
      </c>
      <c r="D157" s="6">
        <v>-0.54</v>
      </c>
      <c r="E157" s="5">
        <v>22.0</v>
      </c>
      <c r="F157" s="4" t="s">
        <v>101</v>
      </c>
      <c r="G157" s="4" t="s">
        <v>66</v>
      </c>
      <c r="H157" s="4" t="s">
        <v>1348</v>
      </c>
      <c r="I157" s="7"/>
      <c r="J157" s="7"/>
      <c r="K157" s="7"/>
    </row>
    <row r="158" ht="15.75" customHeight="1">
      <c r="A158" s="4" t="s">
        <v>1126</v>
      </c>
      <c r="B158" s="5">
        <v>98499.0</v>
      </c>
      <c r="C158" s="4" t="s">
        <v>1007</v>
      </c>
      <c r="D158" s="6">
        <v>-0.46</v>
      </c>
      <c r="E158" s="5">
        <v>48.0</v>
      </c>
      <c r="F158" s="4" t="s">
        <v>55</v>
      </c>
      <c r="G158" s="4" t="s">
        <v>66</v>
      </c>
      <c r="H158" s="4" t="s">
        <v>1218</v>
      </c>
      <c r="I158" s="7"/>
      <c r="J158" s="7"/>
      <c r="K158" s="7"/>
    </row>
    <row r="159" ht="15.75" customHeight="1">
      <c r="A159" s="4" t="s">
        <v>1363</v>
      </c>
      <c r="B159" s="5">
        <v>98500.0</v>
      </c>
      <c r="C159" s="4" t="s">
        <v>1352</v>
      </c>
      <c r="D159" s="6">
        <v>-0.55</v>
      </c>
      <c r="E159" s="5">
        <v>411.0</v>
      </c>
      <c r="F159" s="4" t="s">
        <v>157</v>
      </c>
      <c r="G159" s="4" t="s">
        <v>66</v>
      </c>
      <c r="H159" s="4" t="s">
        <v>1364</v>
      </c>
      <c r="I159" s="7"/>
      <c r="J159" s="7"/>
      <c r="K159" s="7"/>
    </row>
    <row r="160" ht="15.75" customHeight="1">
      <c r="A160" s="4" t="s">
        <v>356</v>
      </c>
      <c r="B160" s="5">
        <v>99000.0</v>
      </c>
      <c r="C160" s="4" t="s">
        <v>11</v>
      </c>
      <c r="D160" s="6" t="s">
        <v>11</v>
      </c>
      <c r="E160" s="5">
        <v>306.0</v>
      </c>
      <c r="F160" s="4" t="s">
        <v>324</v>
      </c>
      <c r="G160" s="4" t="s">
        <v>21</v>
      </c>
      <c r="H160" s="4" t="s">
        <v>357</v>
      </c>
      <c r="I160" s="7"/>
      <c r="J160" s="7"/>
      <c r="K160" s="7"/>
    </row>
    <row r="161" ht="15.75" customHeight="1">
      <c r="A161" s="4" t="s">
        <v>451</v>
      </c>
      <c r="B161" s="5">
        <v>99000.0</v>
      </c>
      <c r="C161" s="4" t="s">
        <v>11</v>
      </c>
      <c r="D161" s="6" t="s">
        <v>11</v>
      </c>
      <c r="E161" s="6" t="s">
        <v>11</v>
      </c>
      <c r="F161" s="4" t="s">
        <v>439</v>
      </c>
      <c r="G161" s="4" t="s">
        <v>115</v>
      </c>
      <c r="H161" s="4" t="s">
        <v>452</v>
      </c>
      <c r="I161" s="7"/>
      <c r="J161" s="7"/>
      <c r="K161" s="7"/>
    </row>
    <row r="162" ht="15.75" customHeight="1">
      <c r="A162" s="4" t="s">
        <v>955</v>
      </c>
      <c r="B162" s="5">
        <v>99000.0</v>
      </c>
      <c r="C162" s="4" t="s">
        <v>857</v>
      </c>
      <c r="D162" s="6">
        <v>-0.22</v>
      </c>
      <c r="E162" s="5">
        <v>628.0</v>
      </c>
      <c r="F162" s="4" t="s">
        <v>198</v>
      </c>
      <c r="G162" s="4" t="s">
        <v>66</v>
      </c>
      <c r="H162" s="4" t="s">
        <v>956</v>
      </c>
      <c r="I162" s="7"/>
      <c r="J162" s="7"/>
      <c r="K162" s="7"/>
    </row>
    <row r="163" ht="15.75" customHeight="1">
      <c r="A163" s="4" t="s">
        <v>1124</v>
      </c>
      <c r="B163" s="5">
        <v>99000.0</v>
      </c>
      <c r="C163" s="4" t="s">
        <v>784</v>
      </c>
      <c r="D163" s="6">
        <v>-0.4</v>
      </c>
      <c r="E163" s="5">
        <v>19.0</v>
      </c>
      <c r="F163" s="4" t="s">
        <v>569</v>
      </c>
      <c r="G163" s="4" t="s">
        <v>66</v>
      </c>
      <c r="H163" s="4" t="s">
        <v>1125</v>
      </c>
      <c r="I163" s="7"/>
      <c r="J163" s="7"/>
      <c r="K163" s="7"/>
    </row>
    <row r="164" ht="15.75" customHeight="1">
      <c r="A164" s="4" t="s">
        <v>230</v>
      </c>
      <c r="B164" s="5">
        <v>99400.0</v>
      </c>
      <c r="C164" s="4" t="s">
        <v>11</v>
      </c>
      <c r="D164" s="6" t="s">
        <v>11</v>
      </c>
      <c r="E164" s="5">
        <v>166.0</v>
      </c>
      <c r="F164" s="4" t="s">
        <v>198</v>
      </c>
      <c r="G164" s="4" t="s">
        <v>41</v>
      </c>
      <c r="H164" s="4" t="s">
        <v>231</v>
      </c>
      <c r="I164" s="7"/>
      <c r="J164" s="7"/>
      <c r="K164" s="7"/>
    </row>
    <row r="165" ht="15.75" customHeight="1">
      <c r="A165" s="4" t="s">
        <v>453</v>
      </c>
      <c r="B165" s="5">
        <v>99400.0</v>
      </c>
      <c r="C165" s="4" t="s">
        <v>11</v>
      </c>
      <c r="D165" s="6" t="s">
        <v>11</v>
      </c>
      <c r="E165" s="6" t="s">
        <v>11</v>
      </c>
      <c r="F165" s="4" t="s">
        <v>439</v>
      </c>
      <c r="G165" s="4" t="s">
        <v>41</v>
      </c>
      <c r="H165" s="4" t="s">
        <v>454</v>
      </c>
      <c r="I165" s="7"/>
      <c r="J165" s="7"/>
      <c r="K165" s="7"/>
    </row>
    <row r="166" ht="15.75" customHeight="1">
      <c r="A166" s="4" t="s">
        <v>617</v>
      </c>
      <c r="B166" s="5">
        <v>99400.0</v>
      </c>
      <c r="C166" s="4" t="s">
        <v>11</v>
      </c>
      <c r="D166" s="6" t="s">
        <v>11</v>
      </c>
      <c r="E166" s="5">
        <v>12.0</v>
      </c>
      <c r="F166" s="4" t="s">
        <v>569</v>
      </c>
      <c r="G166" s="4" t="s">
        <v>12</v>
      </c>
      <c r="H166" s="4" t="s">
        <v>618</v>
      </c>
      <c r="I166" s="7"/>
      <c r="J166" s="7"/>
      <c r="K166" s="7"/>
    </row>
    <row r="167" ht="15.75" customHeight="1">
      <c r="A167" s="4" t="s">
        <v>78</v>
      </c>
      <c r="B167" s="5">
        <v>99540.0</v>
      </c>
      <c r="C167" s="4" t="s">
        <v>11</v>
      </c>
      <c r="D167" s="6" t="s">
        <v>11</v>
      </c>
      <c r="E167" s="5">
        <v>18.0</v>
      </c>
      <c r="F167" s="4" t="s">
        <v>79</v>
      </c>
      <c r="G167" s="4" t="s">
        <v>12</v>
      </c>
      <c r="H167" s="4" t="s">
        <v>80</v>
      </c>
      <c r="I167" s="7"/>
      <c r="J167" s="8" t="s">
        <v>81</v>
      </c>
      <c r="K167" s="7">
        <v>1.0</v>
      </c>
    </row>
    <row r="168" ht="15.75" customHeight="1">
      <c r="A168" s="4" t="s">
        <v>1167</v>
      </c>
      <c r="B168" s="5">
        <v>99540.0</v>
      </c>
      <c r="C168" s="4" t="s">
        <v>1168</v>
      </c>
      <c r="D168" s="6">
        <v>-0.43</v>
      </c>
      <c r="E168" s="5">
        <v>129.0</v>
      </c>
      <c r="F168" s="4" t="s">
        <v>157</v>
      </c>
      <c r="G168" s="4" t="s">
        <v>12</v>
      </c>
      <c r="H168" s="4" t="s">
        <v>1169</v>
      </c>
      <c r="I168" s="7"/>
      <c r="J168" s="7"/>
      <c r="K168" s="7"/>
    </row>
    <row r="169" ht="15.75" customHeight="1">
      <c r="A169" s="4" t="s">
        <v>1240</v>
      </c>
      <c r="B169" s="5">
        <v>99540.0</v>
      </c>
      <c r="C169" s="4" t="s">
        <v>1241</v>
      </c>
      <c r="D169" s="6">
        <v>-0.47</v>
      </c>
      <c r="E169" s="5">
        <v>17.0</v>
      </c>
      <c r="F169" s="4" t="s">
        <v>1242</v>
      </c>
      <c r="G169" s="4" t="s">
        <v>66</v>
      </c>
      <c r="H169" s="4" t="s">
        <v>1243</v>
      </c>
      <c r="I169" s="7"/>
      <c r="J169" s="7"/>
      <c r="K169" s="7"/>
    </row>
    <row r="170" ht="15.75" customHeight="1">
      <c r="A170" s="4" t="s">
        <v>619</v>
      </c>
      <c r="B170" s="5">
        <v>99900.0</v>
      </c>
      <c r="C170" s="4" t="s">
        <v>11</v>
      </c>
      <c r="D170" s="6" t="s">
        <v>11</v>
      </c>
      <c r="E170" s="5">
        <v>17.0</v>
      </c>
      <c r="F170" s="4" t="s">
        <v>569</v>
      </c>
      <c r="G170" s="4" t="s">
        <v>41</v>
      </c>
      <c r="H170" s="4" t="s">
        <v>620</v>
      </c>
      <c r="I170" s="7"/>
      <c r="J170" s="7"/>
      <c r="K170" s="7"/>
    </row>
    <row r="171" ht="15.75" customHeight="1">
      <c r="A171" s="4" t="s">
        <v>10</v>
      </c>
      <c r="B171" s="5">
        <v>99999.0</v>
      </c>
      <c r="C171" s="4" t="s">
        <v>11</v>
      </c>
      <c r="D171" s="6" t="s">
        <v>11</v>
      </c>
      <c r="E171" s="6" t="s">
        <v>11</v>
      </c>
      <c r="F171" s="4" t="s">
        <v>11</v>
      </c>
      <c r="G171" s="4" t="s">
        <v>12</v>
      </c>
      <c r="H171" s="4" t="s">
        <v>13</v>
      </c>
      <c r="I171" s="7"/>
      <c r="J171" s="8" t="s">
        <v>14</v>
      </c>
      <c r="K171" s="7">
        <v>6.0</v>
      </c>
    </row>
    <row r="172" ht="15.75" customHeight="1">
      <c r="A172" s="4" t="s">
        <v>621</v>
      </c>
      <c r="B172" s="5">
        <v>100000.0</v>
      </c>
      <c r="C172" s="4" t="s">
        <v>11</v>
      </c>
      <c r="D172" s="6" t="s">
        <v>11</v>
      </c>
      <c r="E172" s="5">
        <v>7.0</v>
      </c>
      <c r="F172" s="4" t="s">
        <v>569</v>
      </c>
      <c r="G172" s="4" t="s">
        <v>68</v>
      </c>
      <c r="H172" s="4" t="s">
        <v>622</v>
      </c>
      <c r="I172" s="7"/>
      <c r="J172" s="7"/>
      <c r="K172" s="7"/>
    </row>
    <row r="173" ht="15.75" customHeight="1">
      <c r="A173" s="4" t="s">
        <v>358</v>
      </c>
      <c r="B173" s="5">
        <v>100399.0</v>
      </c>
      <c r="C173" s="4" t="s">
        <v>11</v>
      </c>
      <c r="D173" s="6" t="s">
        <v>11</v>
      </c>
      <c r="E173" s="5">
        <v>88.0</v>
      </c>
      <c r="F173" s="4" t="s">
        <v>324</v>
      </c>
      <c r="G173" s="4" t="s">
        <v>35</v>
      </c>
      <c r="H173" s="4" t="s">
        <v>359</v>
      </c>
      <c r="I173" s="7"/>
      <c r="J173" s="7"/>
      <c r="K173" s="7"/>
    </row>
    <row r="174" ht="15.75" customHeight="1">
      <c r="A174" s="4" t="s">
        <v>786</v>
      </c>
      <c r="B174" s="5">
        <v>100500.0</v>
      </c>
      <c r="C174" s="4" t="s">
        <v>787</v>
      </c>
      <c r="D174" s="6">
        <v>-0.01</v>
      </c>
      <c r="E174" s="5">
        <v>10000.0</v>
      </c>
      <c r="F174" s="4" t="s">
        <v>324</v>
      </c>
      <c r="G174" s="4" t="s">
        <v>41</v>
      </c>
      <c r="H174" s="4" t="s">
        <v>788</v>
      </c>
      <c r="I174" s="7"/>
      <c r="J174" s="7"/>
      <c r="K174" s="7"/>
    </row>
    <row r="175" ht="15.75" customHeight="1">
      <c r="A175" s="4" t="s">
        <v>1302</v>
      </c>
      <c r="B175" s="5">
        <v>100500.0</v>
      </c>
      <c r="C175" s="4" t="s">
        <v>996</v>
      </c>
      <c r="D175" s="6">
        <v>-0.5</v>
      </c>
      <c r="E175" s="5">
        <v>1000.0</v>
      </c>
      <c r="F175" s="4" t="s">
        <v>324</v>
      </c>
      <c r="G175" s="4" t="s">
        <v>41</v>
      </c>
      <c r="H175" s="4" t="s">
        <v>1303</v>
      </c>
      <c r="I175" s="7"/>
      <c r="J175" s="7"/>
      <c r="K175" s="7"/>
    </row>
    <row r="176" ht="15.75" customHeight="1">
      <c r="A176" s="4" t="s">
        <v>1411</v>
      </c>
      <c r="B176" s="5">
        <v>101200.0</v>
      </c>
      <c r="C176" s="4" t="s">
        <v>1412</v>
      </c>
      <c r="D176" s="6">
        <v>-0.6</v>
      </c>
      <c r="E176" s="5">
        <v>10000.0</v>
      </c>
      <c r="F176" s="4" t="s">
        <v>324</v>
      </c>
      <c r="G176" s="4" t="s">
        <v>41</v>
      </c>
      <c r="H176" s="4" t="s">
        <v>1413</v>
      </c>
      <c r="I176" s="7"/>
      <c r="J176" s="7"/>
      <c r="K176" s="7"/>
    </row>
    <row r="177" ht="15.75" customHeight="1">
      <c r="A177" s="4" t="s">
        <v>1065</v>
      </c>
      <c r="B177" s="5">
        <v>101500.0</v>
      </c>
      <c r="C177" s="4" t="s">
        <v>1016</v>
      </c>
      <c r="D177" s="6">
        <v>-0.36</v>
      </c>
      <c r="E177" s="5">
        <v>311.0</v>
      </c>
      <c r="F177" s="4" t="s">
        <v>157</v>
      </c>
      <c r="G177" s="4" t="s">
        <v>12</v>
      </c>
      <c r="H177" s="4" t="s">
        <v>1066</v>
      </c>
      <c r="I177" s="7"/>
      <c r="J177" s="7"/>
      <c r="K177" s="7"/>
    </row>
    <row r="178" ht="15.75" customHeight="1">
      <c r="A178" s="4" t="s">
        <v>1145</v>
      </c>
      <c r="B178" s="5">
        <v>101500.0</v>
      </c>
      <c r="C178" s="4" t="s">
        <v>784</v>
      </c>
      <c r="D178" s="6">
        <v>-0.42</v>
      </c>
      <c r="E178" s="5">
        <v>179.0</v>
      </c>
      <c r="F178" s="4" t="s">
        <v>101</v>
      </c>
      <c r="G178" s="4" t="s">
        <v>12</v>
      </c>
      <c r="H178" s="4" t="s">
        <v>1146</v>
      </c>
      <c r="I178" s="7"/>
      <c r="J178" s="7"/>
      <c r="K178" s="7"/>
    </row>
    <row r="179" ht="15.75" customHeight="1">
      <c r="A179" s="4" t="s">
        <v>1263</v>
      </c>
      <c r="B179" s="5">
        <v>101500.0</v>
      </c>
      <c r="C179" s="4" t="s">
        <v>1264</v>
      </c>
      <c r="D179" s="6">
        <v>-0.49</v>
      </c>
      <c r="E179" s="5">
        <v>1000.0</v>
      </c>
      <c r="F179" s="4" t="s">
        <v>157</v>
      </c>
      <c r="G179" s="4" t="s">
        <v>12</v>
      </c>
      <c r="H179" s="4" t="s">
        <v>1265</v>
      </c>
      <c r="I179" s="7"/>
      <c r="J179" s="7"/>
      <c r="K179" s="7"/>
    </row>
    <row r="180" ht="15.75" customHeight="1">
      <c r="A180" s="4" t="s">
        <v>1343</v>
      </c>
      <c r="B180" s="5">
        <v>101850.0</v>
      </c>
      <c r="C180" s="4" t="s">
        <v>1068</v>
      </c>
      <c r="D180" s="6">
        <v>-0.53</v>
      </c>
      <c r="E180" s="5">
        <v>868.0</v>
      </c>
      <c r="F180" s="4" t="s">
        <v>324</v>
      </c>
      <c r="G180" s="4" t="s">
        <v>66</v>
      </c>
      <c r="H180" s="4" t="s">
        <v>1344</v>
      </c>
      <c r="I180" s="7"/>
      <c r="J180" s="7"/>
      <c r="K180" s="7"/>
    </row>
    <row r="181" ht="15.75" customHeight="1">
      <c r="A181" s="4" t="s">
        <v>232</v>
      </c>
      <c r="B181" s="5">
        <v>102000.0</v>
      </c>
      <c r="C181" s="4" t="s">
        <v>11</v>
      </c>
      <c r="D181" s="6" t="s">
        <v>11</v>
      </c>
      <c r="E181" s="5">
        <v>89.0</v>
      </c>
      <c r="F181" s="4" t="s">
        <v>198</v>
      </c>
      <c r="G181" s="4" t="s">
        <v>115</v>
      </c>
      <c r="H181" s="4" t="s">
        <v>233</v>
      </c>
      <c r="I181" s="7"/>
      <c r="J181" s="7"/>
      <c r="K181" s="7"/>
    </row>
    <row r="182" ht="15.75" customHeight="1">
      <c r="A182" s="4" t="s">
        <v>1381</v>
      </c>
      <c r="B182" s="5">
        <v>102000.0</v>
      </c>
      <c r="C182" s="4" t="s">
        <v>1352</v>
      </c>
      <c r="D182" s="6">
        <v>-0.57</v>
      </c>
      <c r="E182" s="5">
        <v>4000.0</v>
      </c>
      <c r="F182" s="4" t="s">
        <v>198</v>
      </c>
      <c r="G182" s="4" t="s">
        <v>66</v>
      </c>
      <c r="H182" s="4" t="s">
        <v>1382</v>
      </c>
      <c r="I182" s="7"/>
      <c r="J182" s="7"/>
      <c r="K182" s="7"/>
    </row>
    <row r="183" ht="15.75" customHeight="1">
      <c r="A183" s="4" t="s">
        <v>163</v>
      </c>
      <c r="B183" s="5">
        <v>102500.0</v>
      </c>
      <c r="C183" s="4" t="s">
        <v>11</v>
      </c>
      <c r="D183" s="6" t="s">
        <v>11</v>
      </c>
      <c r="E183" s="5">
        <v>19.0</v>
      </c>
      <c r="F183" s="4" t="s">
        <v>157</v>
      </c>
      <c r="G183" s="4" t="s">
        <v>37</v>
      </c>
      <c r="H183" s="4" t="s">
        <v>164</v>
      </c>
      <c r="I183" s="7"/>
      <c r="J183" s="8" t="s">
        <v>35</v>
      </c>
      <c r="K183" s="7">
        <v>22.0</v>
      </c>
    </row>
    <row r="184" ht="15.75" customHeight="1">
      <c r="A184" s="4" t="s">
        <v>1383</v>
      </c>
      <c r="B184" s="5">
        <v>102500.0</v>
      </c>
      <c r="C184" s="4" t="s">
        <v>1352</v>
      </c>
      <c r="D184" s="6">
        <v>-0.57</v>
      </c>
      <c r="E184" s="5">
        <v>638.0</v>
      </c>
      <c r="F184" s="4" t="s">
        <v>198</v>
      </c>
      <c r="G184" s="4" t="s">
        <v>66</v>
      </c>
      <c r="H184" s="4" t="s">
        <v>1384</v>
      </c>
      <c r="I184" s="7"/>
      <c r="J184" s="7"/>
      <c r="K184" s="7"/>
    </row>
    <row r="185" ht="15.75" customHeight="1">
      <c r="A185" s="4" t="s">
        <v>1187</v>
      </c>
      <c r="B185" s="5">
        <v>102800.0</v>
      </c>
      <c r="C185" s="4" t="s">
        <v>1168</v>
      </c>
      <c r="D185" s="6">
        <v>-0.44</v>
      </c>
      <c r="E185" s="5">
        <v>156.0</v>
      </c>
      <c r="F185" s="4" t="s">
        <v>79</v>
      </c>
      <c r="G185" s="4" t="s">
        <v>66</v>
      </c>
      <c r="H185" s="4" t="s">
        <v>1188</v>
      </c>
      <c r="I185" s="7"/>
      <c r="J185" s="7"/>
      <c r="K185" s="7"/>
    </row>
    <row r="186" ht="15.75" customHeight="1">
      <c r="A186" s="4" t="s">
        <v>165</v>
      </c>
      <c r="B186" s="5">
        <v>103000.0</v>
      </c>
      <c r="C186" s="4" t="s">
        <v>11</v>
      </c>
      <c r="D186" s="6" t="s">
        <v>11</v>
      </c>
      <c r="E186" s="5">
        <v>932.0</v>
      </c>
      <c r="F186" s="4" t="s">
        <v>157</v>
      </c>
      <c r="G186" s="4" t="s">
        <v>66</v>
      </c>
      <c r="H186" s="4" t="s">
        <v>166</v>
      </c>
      <c r="I186" s="7"/>
      <c r="J186" s="8" t="s">
        <v>161</v>
      </c>
      <c r="K186" s="7">
        <v>1.0</v>
      </c>
    </row>
    <row r="187" ht="15.75" customHeight="1">
      <c r="A187" s="4" t="s">
        <v>1449</v>
      </c>
      <c r="B187" s="5">
        <v>103000.0</v>
      </c>
      <c r="C187" s="4" t="s">
        <v>1450</v>
      </c>
      <c r="D187" s="6">
        <v>-0.69</v>
      </c>
      <c r="E187" s="5">
        <v>347.0</v>
      </c>
      <c r="F187" s="4" t="s">
        <v>157</v>
      </c>
      <c r="G187" s="4" t="s">
        <v>66</v>
      </c>
      <c r="H187" s="4" t="s">
        <v>1451</v>
      </c>
      <c r="I187" s="7"/>
      <c r="J187" s="7"/>
      <c r="K187" s="7"/>
    </row>
    <row r="188" ht="15.75" customHeight="1">
      <c r="A188" s="4" t="s">
        <v>234</v>
      </c>
      <c r="B188" s="5">
        <v>103500.0</v>
      </c>
      <c r="C188" s="4" t="s">
        <v>11</v>
      </c>
      <c r="D188" s="6" t="s">
        <v>11</v>
      </c>
      <c r="E188" s="5">
        <v>105.0</v>
      </c>
      <c r="F188" s="4" t="s">
        <v>198</v>
      </c>
      <c r="G188" s="4" t="s">
        <v>41</v>
      </c>
      <c r="H188" s="4" t="s">
        <v>235</v>
      </c>
      <c r="I188" s="7"/>
      <c r="J188" s="7"/>
      <c r="K188" s="7"/>
    </row>
    <row r="189" ht="15.75" customHeight="1">
      <c r="A189" s="4" t="s">
        <v>167</v>
      </c>
      <c r="B189" s="5">
        <v>105000.0</v>
      </c>
      <c r="C189" s="4" t="s">
        <v>11</v>
      </c>
      <c r="D189" s="6" t="s">
        <v>11</v>
      </c>
      <c r="E189" s="5">
        <v>83.0</v>
      </c>
      <c r="F189" s="4" t="s">
        <v>157</v>
      </c>
      <c r="G189" s="4" t="s">
        <v>35</v>
      </c>
      <c r="H189" s="4" t="s">
        <v>168</v>
      </c>
      <c r="I189" s="7"/>
      <c r="J189" s="8" t="s">
        <v>169</v>
      </c>
      <c r="K189" s="7">
        <v>1.0</v>
      </c>
    </row>
    <row r="190" ht="15.75" customHeight="1">
      <c r="A190" s="4" t="s">
        <v>1163</v>
      </c>
      <c r="B190" s="5">
        <v>105000.0</v>
      </c>
      <c r="C190" s="4" t="s">
        <v>1052</v>
      </c>
      <c r="D190" s="6">
        <v>-0.43</v>
      </c>
      <c r="E190" s="5">
        <v>77.0</v>
      </c>
      <c r="F190" s="4" t="s">
        <v>114</v>
      </c>
      <c r="G190" s="4" t="s">
        <v>66</v>
      </c>
      <c r="H190" s="4" t="s">
        <v>1164</v>
      </c>
      <c r="I190" s="7"/>
      <c r="J190" s="7"/>
      <c r="K190" s="7"/>
    </row>
    <row r="191" ht="15.75" customHeight="1">
      <c r="A191" s="4" t="s">
        <v>1175</v>
      </c>
      <c r="B191" s="5">
        <v>105000.0</v>
      </c>
      <c r="C191" s="4" t="s">
        <v>1176</v>
      </c>
      <c r="D191" s="6">
        <v>-0.43</v>
      </c>
      <c r="E191" s="5">
        <v>79.0</v>
      </c>
      <c r="F191" s="4" t="s">
        <v>324</v>
      </c>
      <c r="G191" s="4" t="s">
        <v>66</v>
      </c>
      <c r="H191" s="4" t="s">
        <v>1177</v>
      </c>
      <c r="I191" s="7"/>
      <c r="J191" s="7"/>
      <c r="K191" s="7"/>
    </row>
    <row r="192" ht="15.75" customHeight="1">
      <c r="A192" s="4" t="s">
        <v>1181</v>
      </c>
      <c r="B192" s="5">
        <v>105000.0</v>
      </c>
      <c r="C192" s="4" t="s">
        <v>784</v>
      </c>
      <c r="D192" s="6">
        <v>-0.43</v>
      </c>
      <c r="E192" s="5">
        <v>2000.0</v>
      </c>
      <c r="F192" s="4" t="s">
        <v>1182</v>
      </c>
      <c r="G192" s="4" t="s">
        <v>66</v>
      </c>
      <c r="H192" s="4" t="s">
        <v>1183</v>
      </c>
      <c r="I192" s="7"/>
      <c r="J192" s="7"/>
      <c r="K192" s="7"/>
    </row>
    <row r="193" ht="15.75" customHeight="1">
      <c r="A193" s="4" t="s">
        <v>1266</v>
      </c>
      <c r="B193" s="5">
        <v>105735.0</v>
      </c>
      <c r="C193" s="4" t="s">
        <v>1267</v>
      </c>
      <c r="D193" s="6">
        <v>-0.49</v>
      </c>
      <c r="E193" s="5">
        <v>79.0</v>
      </c>
      <c r="F193" s="4" t="s">
        <v>157</v>
      </c>
      <c r="G193" s="4" t="s">
        <v>66</v>
      </c>
      <c r="H193" s="4" t="s">
        <v>1268</v>
      </c>
      <c r="I193" s="7"/>
      <c r="J193" s="7"/>
      <c r="K193" s="7"/>
    </row>
    <row r="194" ht="15.75" customHeight="1">
      <c r="A194" s="4" t="s">
        <v>1349</v>
      </c>
      <c r="B194" s="5">
        <v>105900.0</v>
      </c>
      <c r="C194" s="4" t="s">
        <v>1068</v>
      </c>
      <c r="D194" s="6">
        <v>-0.54</v>
      </c>
      <c r="E194" s="5">
        <v>58.0</v>
      </c>
      <c r="F194" s="4" t="s">
        <v>157</v>
      </c>
      <c r="G194" s="4" t="s">
        <v>66</v>
      </c>
      <c r="H194" s="4" t="s">
        <v>1350</v>
      </c>
      <c r="I194" s="7"/>
      <c r="J194" s="7"/>
      <c r="K194" s="7"/>
    </row>
    <row r="195" ht="15.75" customHeight="1">
      <c r="A195" s="4" t="s">
        <v>623</v>
      </c>
      <c r="B195" s="5">
        <v>106000.0</v>
      </c>
      <c r="C195" s="4" t="s">
        <v>11</v>
      </c>
      <c r="D195" s="6" t="s">
        <v>11</v>
      </c>
      <c r="E195" s="5">
        <v>32.0</v>
      </c>
      <c r="F195" s="4" t="s">
        <v>569</v>
      </c>
      <c r="G195" s="4" t="s">
        <v>64</v>
      </c>
      <c r="H195" s="4" t="s">
        <v>624</v>
      </c>
      <c r="I195" s="7"/>
      <c r="J195" s="7"/>
      <c r="K195" s="7"/>
    </row>
    <row r="196" ht="15.75" customHeight="1">
      <c r="A196" s="4" t="s">
        <v>625</v>
      </c>
      <c r="B196" s="5">
        <v>106900.0</v>
      </c>
      <c r="C196" s="4" t="s">
        <v>11</v>
      </c>
      <c r="D196" s="6" t="s">
        <v>11</v>
      </c>
      <c r="E196" s="5">
        <v>2.0</v>
      </c>
      <c r="F196" s="4" t="s">
        <v>569</v>
      </c>
      <c r="G196" s="4" t="s">
        <v>66</v>
      </c>
      <c r="H196" s="4" t="s">
        <v>626</v>
      </c>
      <c r="I196" s="7"/>
      <c r="J196" s="7"/>
      <c r="K196" s="7"/>
    </row>
    <row r="197" ht="15.75" customHeight="1">
      <c r="A197" s="4" t="s">
        <v>1229</v>
      </c>
      <c r="B197" s="5">
        <v>107500.0</v>
      </c>
      <c r="C197" s="4" t="s">
        <v>1230</v>
      </c>
      <c r="D197" s="6">
        <v>-0.46</v>
      </c>
      <c r="E197" s="5">
        <v>72.0</v>
      </c>
      <c r="F197" s="4" t="s">
        <v>324</v>
      </c>
      <c r="G197" s="4" t="s">
        <v>35</v>
      </c>
      <c r="H197" s="4" t="s">
        <v>1231</v>
      </c>
      <c r="I197" s="7"/>
      <c r="J197" s="7"/>
      <c r="K197" s="7"/>
    </row>
    <row r="198" ht="15.75" customHeight="1">
      <c r="A198" s="4" t="s">
        <v>1198</v>
      </c>
      <c r="B198" s="5">
        <v>108200.0</v>
      </c>
      <c r="C198" s="4" t="s">
        <v>784</v>
      </c>
      <c r="D198" s="6">
        <v>-0.44</v>
      </c>
      <c r="E198" s="5">
        <v>502.0</v>
      </c>
      <c r="F198" s="4" t="s">
        <v>198</v>
      </c>
      <c r="G198" s="4" t="s">
        <v>66</v>
      </c>
      <c r="H198" s="4" t="s">
        <v>1199</v>
      </c>
      <c r="I198" s="7"/>
      <c r="J198" s="7"/>
      <c r="K198" s="7"/>
    </row>
    <row r="199" ht="15.75" customHeight="1">
      <c r="A199" s="4" t="s">
        <v>1202</v>
      </c>
      <c r="B199" s="5">
        <v>108500.0</v>
      </c>
      <c r="C199" s="4" t="s">
        <v>1176</v>
      </c>
      <c r="D199" s="6">
        <v>-0.45</v>
      </c>
      <c r="E199" s="5">
        <v>1.0</v>
      </c>
      <c r="F199" s="4" t="s">
        <v>11</v>
      </c>
      <c r="G199" s="4" t="s">
        <v>66</v>
      </c>
      <c r="H199" s="4" t="s">
        <v>1203</v>
      </c>
      <c r="I199" s="7"/>
      <c r="J199" s="7"/>
      <c r="K199" s="7"/>
    </row>
    <row r="200" ht="15.75" customHeight="1">
      <c r="A200" s="4" t="s">
        <v>907</v>
      </c>
      <c r="B200" s="5">
        <v>108885.0</v>
      </c>
      <c r="C200" s="4" t="s">
        <v>908</v>
      </c>
      <c r="D200" s="6">
        <v>-0.1</v>
      </c>
      <c r="E200" s="5">
        <v>118.0</v>
      </c>
      <c r="F200" s="4" t="s">
        <v>198</v>
      </c>
      <c r="G200" s="4" t="s">
        <v>18</v>
      </c>
      <c r="H200" s="4" t="s">
        <v>909</v>
      </c>
      <c r="I200" s="7"/>
      <c r="J200" s="7"/>
      <c r="K200" s="7"/>
    </row>
    <row r="201" ht="15.75" customHeight="1">
      <c r="A201" s="4" t="s">
        <v>360</v>
      </c>
      <c r="B201" s="5">
        <v>109000.0</v>
      </c>
      <c r="C201" s="4" t="s">
        <v>11</v>
      </c>
      <c r="D201" s="6" t="s">
        <v>11</v>
      </c>
      <c r="E201" s="5">
        <v>4000.0</v>
      </c>
      <c r="F201" s="4" t="s">
        <v>324</v>
      </c>
      <c r="G201" s="4" t="s">
        <v>41</v>
      </c>
      <c r="H201" s="4" t="s">
        <v>361</v>
      </c>
      <c r="I201" s="7"/>
      <c r="J201" s="7"/>
      <c r="K201" s="7"/>
    </row>
    <row r="202" ht="15.75" customHeight="1">
      <c r="A202" s="4" t="s">
        <v>627</v>
      </c>
      <c r="B202" s="5">
        <v>109000.0</v>
      </c>
      <c r="C202" s="4" t="s">
        <v>11</v>
      </c>
      <c r="D202" s="6" t="s">
        <v>11</v>
      </c>
      <c r="E202" s="5">
        <v>1.0</v>
      </c>
      <c r="F202" s="4" t="s">
        <v>569</v>
      </c>
      <c r="G202" s="4" t="s">
        <v>115</v>
      </c>
      <c r="H202" s="4" t="s">
        <v>628</v>
      </c>
      <c r="I202" s="7"/>
      <c r="J202" s="7"/>
      <c r="K202" s="7"/>
    </row>
    <row r="203" ht="15.75" customHeight="1">
      <c r="A203" s="4" t="s">
        <v>1036</v>
      </c>
      <c r="B203" s="5">
        <v>109000.0</v>
      </c>
      <c r="C203" s="4" t="s">
        <v>1037</v>
      </c>
      <c r="D203" s="6">
        <v>-0.33</v>
      </c>
      <c r="E203" s="5">
        <v>1000.0</v>
      </c>
      <c r="F203" s="4" t="s">
        <v>157</v>
      </c>
      <c r="G203" s="4" t="s">
        <v>12</v>
      </c>
      <c r="H203" s="4" t="s">
        <v>1038</v>
      </c>
      <c r="I203" s="7"/>
      <c r="J203" s="7"/>
      <c r="K203" s="7"/>
    </row>
    <row r="204" ht="15.75" customHeight="1">
      <c r="A204" s="4" t="s">
        <v>1042</v>
      </c>
      <c r="B204" s="5">
        <v>109000.0</v>
      </c>
      <c r="C204" s="4" t="s">
        <v>1043</v>
      </c>
      <c r="D204" s="6">
        <v>-0.33</v>
      </c>
      <c r="E204" s="5">
        <v>1000.0</v>
      </c>
      <c r="F204" s="4" t="s">
        <v>198</v>
      </c>
      <c r="G204" s="4" t="s">
        <v>66</v>
      </c>
      <c r="H204" s="4" t="s">
        <v>1044</v>
      </c>
      <c r="I204" s="7"/>
      <c r="J204" s="7"/>
      <c r="K204" s="7"/>
    </row>
    <row r="205" ht="15.75" customHeight="1">
      <c r="A205" s="4" t="s">
        <v>1081</v>
      </c>
      <c r="B205" s="5">
        <v>109000.0</v>
      </c>
      <c r="C205" s="4" t="s">
        <v>969</v>
      </c>
      <c r="D205" s="6">
        <v>-0.37</v>
      </c>
      <c r="E205" s="5">
        <v>3000.0</v>
      </c>
      <c r="F205" s="4" t="s">
        <v>157</v>
      </c>
      <c r="G205" s="4" t="s">
        <v>66</v>
      </c>
      <c r="H205" s="4" t="s">
        <v>1082</v>
      </c>
      <c r="I205" s="7"/>
      <c r="J205" s="7"/>
      <c r="K205" s="7"/>
    </row>
    <row r="206" ht="15.75" customHeight="1">
      <c r="A206" s="4" t="s">
        <v>1083</v>
      </c>
      <c r="B206" s="5">
        <v>109000.0</v>
      </c>
      <c r="C206" s="4" t="s">
        <v>969</v>
      </c>
      <c r="D206" s="6">
        <v>-0.37</v>
      </c>
      <c r="E206" s="5">
        <v>870.0</v>
      </c>
      <c r="F206" s="4" t="s">
        <v>157</v>
      </c>
      <c r="G206" s="4" t="s">
        <v>12</v>
      </c>
      <c r="H206" s="4" t="s">
        <v>1084</v>
      </c>
      <c r="I206" s="7"/>
      <c r="J206" s="7"/>
      <c r="K206" s="7"/>
    </row>
    <row r="207" ht="15.75" customHeight="1">
      <c r="A207" s="4" t="s">
        <v>1085</v>
      </c>
      <c r="B207" s="5">
        <v>109000.0</v>
      </c>
      <c r="C207" s="4" t="s">
        <v>969</v>
      </c>
      <c r="D207" s="6">
        <v>-0.37</v>
      </c>
      <c r="E207" s="5">
        <v>180.0</v>
      </c>
      <c r="F207" s="4" t="s">
        <v>198</v>
      </c>
      <c r="G207" s="4" t="s">
        <v>12</v>
      </c>
      <c r="H207" s="4" t="s">
        <v>1086</v>
      </c>
      <c r="I207" s="7"/>
      <c r="J207" s="7"/>
      <c r="K207" s="7"/>
    </row>
    <row r="208" ht="15.75" customHeight="1">
      <c r="A208" s="4" t="s">
        <v>1092</v>
      </c>
      <c r="B208" s="5">
        <v>109000.0</v>
      </c>
      <c r="C208" s="4" t="s">
        <v>969</v>
      </c>
      <c r="D208" s="6">
        <v>-0.38</v>
      </c>
      <c r="E208" s="5">
        <v>172.0</v>
      </c>
      <c r="F208" s="4" t="s">
        <v>101</v>
      </c>
      <c r="G208" s="4" t="s">
        <v>12</v>
      </c>
      <c r="H208" s="4" t="s">
        <v>1093</v>
      </c>
      <c r="I208" s="7"/>
      <c r="J208" s="7"/>
      <c r="K208" s="7"/>
    </row>
    <row r="209" ht="15.75" customHeight="1">
      <c r="A209" s="4" t="s">
        <v>1126</v>
      </c>
      <c r="B209" s="5">
        <v>109000.0</v>
      </c>
      <c r="C209" s="4" t="s">
        <v>1127</v>
      </c>
      <c r="D209" s="6">
        <v>-0.41</v>
      </c>
      <c r="E209" s="5">
        <v>134.0</v>
      </c>
      <c r="F209" s="4" t="s">
        <v>59</v>
      </c>
      <c r="G209" s="4" t="s">
        <v>66</v>
      </c>
      <c r="H209" s="4" t="s">
        <v>1128</v>
      </c>
      <c r="I209" s="7"/>
      <c r="J209" s="7"/>
      <c r="K209" s="7"/>
    </row>
    <row r="210" ht="15.75" customHeight="1">
      <c r="A210" s="4" t="s">
        <v>789</v>
      </c>
      <c r="B210" s="5">
        <v>109130.0</v>
      </c>
      <c r="C210" s="4" t="s">
        <v>790</v>
      </c>
      <c r="D210" s="6">
        <v>-0.01</v>
      </c>
      <c r="E210" s="5">
        <v>937.0</v>
      </c>
      <c r="F210" s="4" t="s">
        <v>324</v>
      </c>
      <c r="G210" s="4" t="s">
        <v>49</v>
      </c>
      <c r="H210" s="4" t="s">
        <v>791</v>
      </c>
      <c r="I210" s="7"/>
      <c r="J210" s="7"/>
      <c r="K210" s="7"/>
    </row>
    <row r="211" ht="15.75" customHeight="1">
      <c r="A211" s="4" t="s">
        <v>1272</v>
      </c>
      <c r="B211" s="5">
        <v>109200.0</v>
      </c>
      <c r="C211" s="4" t="s">
        <v>1063</v>
      </c>
      <c r="D211" s="6">
        <v>-0.49</v>
      </c>
      <c r="E211" s="5">
        <v>150.0</v>
      </c>
      <c r="F211" s="4" t="s">
        <v>198</v>
      </c>
      <c r="G211" s="4" t="s">
        <v>66</v>
      </c>
      <c r="H211" s="4" t="s">
        <v>1273</v>
      </c>
      <c r="I211" s="7"/>
      <c r="J211" s="7"/>
      <c r="K211" s="7"/>
    </row>
    <row r="212" ht="15.75" customHeight="1">
      <c r="A212" s="4" t="s">
        <v>792</v>
      </c>
      <c r="B212" s="5">
        <v>109600.0</v>
      </c>
      <c r="C212" s="4" t="s">
        <v>793</v>
      </c>
      <c r="D212" s="6">
        <v>-0.01</v>
      </c>
      <c r="E212" s="5">
        <v>74.0</v>
      </c>
      <c r="F212" s="4" t="s">
        <v>324</v>
      </c>
      <c r="G212" s="4" t="s">
        <v>16</v>
      </c>
      <c r="H212" s="4" t="s">
        <v>794</v>
      </c>
      <c r="I212" s="7"/>
      <c r="J212" s="7"/>
      <c r="K212" s="7"/>
    </row>
    <row r="213" ht="15.75" customHeight="1">
      <c r="A213" s="4" t="s">
        <v>917</v>
      </c>
      <c r="B213" s="5">
        <v>109900.0</v>
      </c>
      <c r="C213" s="4" t="s">
        <v>908</v>
      </c>
      <c r="D213" s="6">
        <v>-0.12</v>
      </c>
      <c r="E213" s="5">
        <v>25.0</v>
      </c>
      <c r="F213" s="4" t="s">
        <v>101</v>
      </c>
      <c r="G213" s="4" t="s">
        <v>37</v>
      </c>
      <c r="H213" s="4" t="s">
        <v>918</v>
      </c>
      <c r="I213" s="7"/>
      <c r="J213" s="7"/>
      <c r="K213" s="7"/>
    </row>
    <row r="214" ht="15.75" customHeight="1">
      <c r="A214" s="4" t="s">
        <v>1087</v>
      </c>
      <c r="B214" s="5">
        <v>109975.0</v>
      </c>
      <c r="C214" s="4" t="s">
        <v>1088</v>
      </c>
      <c r="D214" s="6">
        <v>-0.37</v>
      </c>
      <c r="E214" s="5">
        <v>6000.0</v>
      </c>
      <c r="F214" s="4" t="s">
        <v>198</v>
      </c>
      <c r="G214" s="4" t="s">
        <v>66</v>
      </c>
      <c r="H214" s="4" t="s">
        <v>1089</v>
      </c>
      <c r="I214" s="7"/>
      <c r="J214" s="7"/>
      <c r="K214" s="7"/>
    </row>
    <row r="215" ht="15.75" customHeight="1">
      <c r="A215" s="4" t="s">
        <v>118</v>
      </c>
      <c r="B215" s="5">
        <v>110000.0</v>
      </c>
      <c r="C215" s="4" t="s">
        <v>11</v>
      </c>
      <c r="D215" s="6" t="s">
        <v>11</v>
      </c>
      <c r="E215" s="5">
        <v>2.0</v>
      </c>
      <c r="F215" s="4" t="s">
        <v>114</v>
      </c>
      <c r="G215" s="4" t="s">
        <v>27</v>
      </c>
      <c r="H215" s="4" t="s">
        <v>119</v>
      </c>
      <c r="I215" s="7"/>
      <c r="J215" s="8" t="s">
        <v>71</v>
      </c>
      <c r="K215" s="7">
        <v>5.0</v>
      </c>
    </row>
    <row r="216" ht="15.75" customHeight="1">
      <c r="A216" s="4" t="s">
        <v>236</v>
      </c>
      <c r="B216" s="5">
        <v>110000.0</v>
      </c>
      <c r="C216" s="4" t="s">
        <v>11</v>
      </c>
      <c r="D216" s="6" t="s">
        <v>11</v>
      </c>
      <c r="E216" s="5">
        <v>5.0</v>
      </c>
      <c r="F216" s="4" t="s">
        <v>198</v>
      </c>
      <c r="G216" s="4" t="s">
        <v>16</v>
      </c>
      <c r="H216" s="4" t="s">
        <v>237</v>
      </c>
      <c r="I216" s="7"/>
      <c r="J216" s="7"/>
      <c r="K216" s="7"/>
    </row>
    <row r="217" ht="15.75" customHeight="1">
      <c r="A217" s="4" t="s">
        <v>629</v>
      </c>
      <c r="B217" s="5">
        <v>110000.0</v>
      </c>
      <c r="C217" s="4" t="s">
        <v>11</v>
      </c>
      <c r="D217" s="6" t="s">
        <v>11</v>
      </c>
      <c r="E217" s="5">
        <v>5.0</v>
      </c>
      <c r="F217" s="4" t="s">
        <v>569</v>
      </c>
      <c r="G217" s="4" t="s">
        <v>18</v>
      </c>
      <c r="H217" s="4" t="s">
        <v>630</v>
      </c>
      <c r="I217" s="7"/>
      <c r="J217" s="7"/>
      <c r="K217" s="7"/>
    </row>
    <row r="218" ht="15.75" customHeight="1">
      <c r="A218" s="4" t="s">
        <v>1253</v>
      </c>
      <c r="B218" s="5">
        <v>110000.0</v>
      </c>
      <c r="C218" s="4" t="s">
        <v>1254</v>
      </c>
      <c r="D218" s="6">
        <v>-0.47</v>
      </c>
      <c r="E218" s="5">
        <v>1000.0</v>
      </c>
      <c r="F218" s="4" t="s">
        <v>324</v>
      </c>
      <c r="G218" s="4" t="s">
        <v>66</v>
      </c>
      <c r="H218" s="4" t="s">
        <v>1255</v>
      </c>
      <c r="I218" s="7"/>
      <c r="J218" s="7"/>
      <c r="K218" s="7"/>
    </row>
    <row r="219" ht="15.75" customHeight="1">
      <c r="A219" s="4" t="s">
        <v>170</v>
      </c>
      <c r="B219" s="5">
        <v>110999.0</v>
      </c>
      <c r="C219" s="4" t="s">
        <v>11</v>
      </c>
      <c r="D219" s="6" t="s">
        <v>11</v>
      </c>
      <c r="E219" s="5">
        <v>15.0</v>
      </c>
      <c r="F219" s="4" t="s">
        <v>157</v>
      </c>
      <c r="G219" s="4" t="s">
        <v>18</v>
      </c>
      <c r="H219" s="4" t="s">
        <v>171</v>
      </c>
      <c r="I219" s="7"/>
      <c r="J219" s="7"/>
      <c r="K219" s="7"/>
    </row>
    <row r="220" ht="15.75" customHeight="1">
      <c r="A220" s="4" t="s">
        <v>1117</v>
      </c>
      <c r="B220" s="5">
        <v>112100.0</v>
      </c>
      <c r="C220" s="4" t="s">
        <v>969</v>
      </c>
      <c r="D220" s="6">
        <v>-0.4</v>
      </c>
      <c r="E220" s="5">
        <v>213.0</v>
      </c>
      <c r="F220" s="4" t="s">
        <v>198</v>
      </c>
      <c r="G220" s="4" t="s">
        <v>66</v>
      </c>
      <c r="H220" s="4" t="s">
        <v>1118</v>
      </c>
      <c r="I220" s="7"/>
      <c r="J220" s="7"/>
      <c r="K220" s="7"/>
    </row>
    <row r="221" ht="15.75" customHeight="1">
      <c r="A221" s="4" t="s">
        <v>1429</v>
      </c>
      <c r="B221" s="5">
        <v>113030.0</v>
      </c>
      <c r="C221" s="4" t="s">
        <v>1150</v>
      </c>
      <c r="D221" s="6">
        <v>-0.63</v>
      </c>
      <c r="E221" s="5">
        <v>449.0</v>
      </c>
      <c r="F221" s="4" t="s">
        <v>198</v>
      </c>
      <c r="G221" s="4" t="s">
        <v>66</v>
      </c>
      <c r="H221" s="4" t="s">
        <v>1430</v>
      </c>
      <c r="I221" s="7"/>
      <c r="J221" s="7"/>
      <c r="K221" s="7"/>
    </row>
    <row r="222" ht="15.75" customHeight="1">
      <c r="A222" s="4" t="s">
        <v>1431</v>
      </c>
      <c r="B222" s="5">
        <v>113500.0</v>
      </c>
      <c r="C222" s="4" t="s">
        <v>1150</v>
      </c>
      <c r="D222" s="6">
        <v>-0.63</v>
      </c>
      <c r="E222" s="5">
        <v>404.0</v>
      </c>
      <c r="F222" s="4" t="s">
        <v>198</v>
      </c>
      <c r="G222" s="4" t="s">
        <v>66</v>
      </c>
      <c r="H222" s="4" t="s">
        <v>1432</v>
      </c>
      <c r="I222" s="7"/>
      <c r="J222" s="7"/>
      <c r="K222" s="7"/>
    </row>
    <row r="223" ht="15.75" customHeight="1">
      <c r="A223" s="4" t="s">
        <v>172</v>
      </c>
      <c r="B223" s="5">
        <v>113700.0</v>
      </c>
      <c r="C223" s="4" t="s">
        <v>11</v>
      </c>
      <c r="D223" s="6" t="s">
        <v>11</v>
      </c>
      <c r="E223" s="5">
        <v>67.0</v>
      </c>
      <c r="F223" s="4" t="s">
        <v>157</v>
      </c>
      <c r="G223" s="4" t="s">
        <v>64</v>
      </c>
      <c r="H223" s="4" t="s">
        <v>173</v>
      </c>
      <c r="I223" s="7"/>
      <c r="J223" s="7"/>
      <c r="K223" s="7"/>
    </row>
    <row r="224" ht="15.75" customHeight="1">
      <c r="A224" s="4" t="s">
        <v>490</v>
      </c>
      <c r="B224" s="5">
        <v>113800.0</v>
      </c>
      <c r="C224" s="4" t="s">
        <v>11</v>
      </c>
      <c r="D224" s="6" t="s">
        <v>11</v>
      </c>
      <c r="E224" s="5">
        <v>27.0</v>
      </c>
      <c r="F224" s="4" t="s">
        <v>476</v>
      </c>
      <c r="G224" s="4" t="s">
        <v>16</v>
      </c>
      <c r="H224" s="4" t="s">
        <v>491</v>
      </c>
      <c r="I224" s="7"/>
      <c r="J224" s="7"/>
      <c r="K224" s="7"/>
    </row>
    <row r="225" ht="15.75" customHeight="1">
      <c r="A225" s="4" t="s">
        <v>120</v>
      </c>
      <c r="B225" s="5">
        <v>113999.0</v>
      </c>
      <c r="C225" s="4" t="s">
        <v>11</v>
      </c>
      <c r="D225" s="6" t="s">
        <v>11</v>
      </c>
      <c r="E225" s="5">
        <v>30.0</v>
      </c>
      <c r="F225" s="4" t="s">
        <v>114</v>
      </c>
      <c r="G225" s="4" t="s">
        <v>12</v>
      </c>
      <c r="H225" s="4" t="s">
        <v>121</v>
      </c>
      <c r="I225" s="7"/>
      <c r="J225" s="8" t="s">
        <v>31</v>
      </c>
      <c r="K225" s="7">
        <v>1.0</v>
      </c>
    </row>
    <row r="226" ht="15.75" customHeight="1">
      <c r="A226" s="4" t="s">
        <v>122</v>
      </c>
      <c r="B226" s="5">
        <v>114030.0</v>
      </c>
      <c r="C226" s="4" t="s">
        <v>11</v>
      </c>
      <c r="D226" s="6" t="s">
        <v>11</v>
      </c>
      <c r="E226" s="5">
        <v>5.0</v>
      </c>
      <c r="F226" s="4" t="s">
        <v>114</v>
      </c>
      <c r="G226" s="4" t="s">
        <v>12</v>
      </c>
      <c r="H226" s="4" t="s">
        <v>123</v>
      </c>
      <c r="I226" s="7"/>
      <c r="J226" s="8" t="s">
        <v>23</v>
      </c>
      <c r="K226" s="7">
        <v>3.0</v>
      </c>
    </row>
    <row r="227" ht="15.75" customHeight="1">
      <c r="A227" s="4" t="s">
        <v>62</v>
      </c>
      <c r="B227" s="5">
        <v>115000.0</v>
      </c>
      <c r="C227" s="4" t="s">
        <v>11</v>
      </c>
      <c r="D227" s="6" t="s">
        <v>11</v>
      </c>
      <c r="E227" s="5">
        <v>7.0</v>
      </c>
      <c r="F227" s="4" t="s">
        <v>59</v>
      </c>
      <c r="G227" s="4" t="s">
        <v>18</v>
      </c>
      <c r="H227" s="4" t="s">
        <v>63</v>
      </c>
      <c r="I227" s="7"/>
      <c r="J227" s="8" t="s">
        <v>64</v>
      </c>
      <c r="K227" s="7">
        <v>10.0</v>
      </c>
    </row>
    <row r="228" ht="15.75" customHeight="1">
      <c r="A228" s="4" t="s">
        <v>124</v>
      </c>
      <c r="B228" s="5">
        <v>115000.0</v>
      </c>
      <c r="C228" s="4" t="s">
        <v>11</v>
      </c>
      <c r="D228" s="6" t="s">
        <v>11</v>
      </c>
      <c r="E228" s="5">
        <v>117.0</v>
      </c>
      <c r="F228" s="4" t="s">
        <v>114</v>
      </c>
      <c r="G228" s="4" t="s">
        <v>64</v>
      </c>
      <c r="H228" s="4" t="s">
        <v>125</v>
      </c>
      <c r="I228" s="7"/>
      <c r="J228" s="8" t="s">
        <v>66</v>
      </c>
      <c r="K228" s="7">
        <v>163.0</v>
      </c>
    </row>
    <row r="229" ht="15.75" customHeight="1">
      <c r="A229" s="4" t="s">
        <v>1399</v>
      </c>
      <c r="B229" s="5">
        <v>115000.0</v>
      </c>
      <c r="C229" s="4" t="s">
        <v>1400</v>
      </c>
      <c r="D229" s="6">
        <v>-0.59</v>
      </c>
      <c r="E229" s="5">
        <v>109.0</v>
      </c>
      <c r="F229" s="4" t="s">
        <v>79</v>
      </c>
      <c r="G229" s="4" t="s">
        <v>66</v>
      </c>
      <c r="H229" s="4" t="s">
        <v>1401</v>
      </c>
      <c r="I229" s="7"/>
      <c r="J229" s="7"/>
      <c r="K229" s="7"/>
    </row>
    <row r="230" ht="15.75" customHeight="1">
      <c r="A230" s="4" t="s">
        <v>1435</v>
      </c>
      <c r="B230" s="5">
        <v>115000.0</v>
      </c>
      <c r="C230" s="4" t="s">
        <v>1220</v>
      </c>
      <c r="D230" s="6">
        <v>-0.64</v>
      </c>
      <c r="E230" s="5">
        <v>104.0</v>
      </c>
      <c r="F230" s="4" t="s">
        <v>114</v>
      </c>
      <c r="G230" s="4" t="s">
        <v>66</v>
      </c>
      <c r="H230" s="4" t="s">
        <v>1436</v>
      </c>
      <c r="I230" s="7"/>
      <c r="J230" s="7"/>
      <c r="K230" s="7"/>
    </row>
    <row r="231" ht="15.75" customHeight="1">
      <c r="A231" s="4" t="s">
        <v>455</v>
      </c>
      <c r="B231" s="5">
        <v>115700.0</v>
      </c>
      <c r="C231" s="4" t="s">
        <v>11</v>
      </c>
      <c r="D231" s="6" t="s">
        <v>11</v>
      </c>
      <c r="E231" s="6" t="s">
        <v>11</v>
      </c>
      <c r="F231" s="4" t="s">
        <v>439</v>
      </c>
      <c r="G231" s="4" t="s">
        <v>64</v>
      </c>
      <c r="H231" s="4" t="s">
        <v>456</v>
      </c>
      <c r="I231" s="7"/>
      <c r="J231" s="7"/>
      <c r="K231" s="7"/>
    </row>
    <row r="232" ht="15.75" customHeight="1">
      <c r="A232" s="4" t="s">
        <v>1173</v>
      </c>
      <c r="B232" s="5">
        <v>115800.0</v>
      </c>
      <c r="C232" s="4" t="s">
        <v>969</v>
      </c>
      <c r="D232" s="6">
        <v>-0.43</v>
      </c>
      <c r="E232" s="5">
        <v>10000.0</v>
      </c>
      <c r="F232" s="4" t="s">
        <v>198</v>
      </c>
      <c r="G232" s="4" t="s">
        <v>16</v>
      </c>
      <c r="H232" s="4" t="s">
        <v>1174</v>
      </c>
      <c r="I232" s="7"/>
      <c r="J232" s="7"/>
      <c r="K232" s="7"/>
    </row>
    <row r="233" ht="15.75" customHeight="1">
      <c r="A233" s="4" t="s">
        <v>362</v>
      </c>
      <c r="B233" s="5">
        <v>115900.0</v>
      </c>
      <c r="C233" s="4" t="s">
        <v>11</v>
      </c>
      <c r="D233" s="6" t="s">
        <v>11</v>
      </c>
      <c r="E233" s="5">
        <v>43.0</v>
      </c>
      <c r="F233" s="4" t="s">
        <v>324</v>
      </c>
      <c r="G233" s="4" t="s">
        <v>41</v>
      </c>
      <c r="H233" s="4" t="s">
        <v>363</v>
      </c>
      <c r="I233" s="7"/>
      <c r="J233" s="7"/>
      <c r="K233" s="7"/>
    </row>
    <row r="234" ht="15.75" customHeight="1">
      <c r="A234" s="4" t="s">
        <v>238</v>
      </c>
      <c r="B234" s="5">
        <v>115994.0</v>
      </c>
      <c r="C234" s="4" t="s">
        <v>11</v>
      </c>
      <c r="D234" s="6" t="s">
        <v>11</v>
      </c>
      <c r="E234" s="5">
        <v>1000.0</v>
      </c>
      <c r="F234" s="4" t="s">
        <v>198</v>
      </c>
      <c r="G234" s="4" t="s">
        <v>66</v>
      </c>
      <c r="H234" s="4" t="s">
        <v>239</v>
      </c>
      <c r="I234" s="7"/>
      <c r="J234" s="7"/>
      <c r="K234" s="7"/>
    </row>
    <row r="235" ht="15.75" customHeight="1">
      <c r="A235" s="4" t="s">
        <v>1022</v>
      </c>
      <c r="B235" s="5">
        <v>116000.0</v>
      </c>
      <c r="C235" s="4" t="s">
        <v>1023</v>
      </c>
      <c r="D235" s="6">
        <v>-0.31</v>
      </c>
      <c r="E235" s="5">
        <v>3000.0</v>
      </c>
      <c r="F235" s="4" t="s">
        <v>198</v>
      </c>
      <c r="G235" s="4" t="s">
        <v>12</v>
      </c>
      <c r="H235" s="4" t="s">
        <v>1024</v>
      </c>
      <c r="I235" s="7"/>
      <c r="J235" s="7"/>
      <c r="K235" s="7"/>
    </row>
    <row r="236" ht="15.75" customHeight="1">
      <c r="A236" s="4" t="s">
        <v>492</v>
      </c>
      <c r="B236" s="5">
        <v>116200.0</v>
      </c>
      <c r="C236" s="4" t="s">
        <v>11</v>
      </c>
      <c r="D236" s="6" t="s">
        <v>11</v>
      </c>
      <c r="E236" s="5">
        <v>9.0</v>
      </c>
      <c r="F236" s="4" t="s">
        <v>476</v>
      </c>
      <c r="G236" s="4" t="s">
        <v>41</v>
      </c>
      <c r="H236" s="4" t="s">
        <v>493</v>
      </c>
      <c r="I236" s="7"/>
      <c r="J236" s="7"/>
      <c r="K236" s="7"/>
    </row>
    <row r="237" ht="15.75" customHeight="1">
      <c r="A237" s="4" t="s">
        <v>364</v>
      </c>
      <c r="B237" s="5">
        <v>116235.0</v>
      </c>
      <c r="C237" s="4" t="s">
        <v>11</v>
      </c>
      <c r="D237" s="6" t="s">
        <v>11</v>
      </c>
      <c r="E237" s="5">
        <v>1000.0</v>
      </c>
      <c r="F237" s="4" t="s">
        <v>324</v>
      </c>
      <c r="G237" s="4" t="s">
        <v>41</v>
      </c>
      <c r="H237" s="4" t="s">
        <v>241</v>
      </c>
      <c r="I237" s="7"/>
      <c r="J237" s="7"/>
      <c r="K237" s="7"/>
    </row>
    <row r="238" ht="15.75" customHeight="1">
      <c r="A238" s="4" t="s">
        <v>240</v>
      </c>
      <c r="B238" s="5">
        <v>116900.0</v>
      </c>
      <c r="C238" s="4" t="s">
        <v>11</v>
      </c>
      <c r="D238" s="6" t="s">
        <v>11</v>
      </c>
      <c r="E238" s="5">
        <v>3000.0</v>
      </c>
      <c r="F238" s="4" t="s">
        <v>198</v>
      </c>
      <c r="G238" s="4" t="s">
        <v>41</v>
      </c>
      <c r="H238" s="4" t="s">
        <v>241</v>
      </c>
      <c r="I238" s="7"/>
      <c r="J238" s="7"/>
      <c r="K238" s="7"/>
    </row>
    <row r="239" ht="15.75" customHeight="1">
      <c r="A239" s="4" t="s">
        <v>242</v>
      </c>
      <c r="B239" s="5">
        <v>117000.0</v>
      </c>
      <c r="C239" s="4" t="s">
        <v>11</v>
      </c>
      <c r="D239" s="6" t="s">
        <v>11</v>
      </c>
      <c r="E239" s="5">
        <v>233.0</v>
      </c>
      <c r="F239" s="4" t="s">
        <v>198</v>
      </c>
      <c r="G239" s="4" t="s">
        <v>115</v>
      </c>
      <c r="H239" s="4" t="s">
        <v>243</v>
      </c>
      <c r="I239" s="7"/>
      <c r="J239" s="7"/>
      <c r="K239" s="7"/>
    </row>
    <row r="240" ht="15.75" customHeight="1">
      <c r="A240" s="4" t="s">
        <v>631</v>
      </c>
      <c r="B240" s="5">
        <v>117500.0</v>
      </c>
      <c r="C240" s="4" t="s">
        <v>11</v>
      </c>
      <c r="D240" s="6" t="s">
        <v>11</v>
      </c>
      <c r="E240" s="5">
        <v>6.0</v>
      </c>
      <c r="F240" s="4" t="s">
        <v>569</v>
      </c>
      <c r="G240" s="4" t="s">
        <v>45</v>
      </c>
      <c r="H240" s="4" t="s">
        <v>632</v>
      </c>
      <c r="I240" s="7"/>
      <c r="J240" s="7"/>
      <c r="K240" s="7"/>
    </row>
    <row r="241" ht="15.75" customHeight="1">
      <c r="A241" s="4" t="s">
        <v>82</v>
      </c>
      <c r="B241" s="5">
        <v>117700.0</v>
      </c>
      <c r="C241" s="4" t="s">
        <v>11</v>
      </c>
      <c r="D241" s="6" t="s">
        <v>11</v>
      </c>
      <c r="E241" s="5">
        <v>7.0</v>
      </c>
      <c r="F241" s="4" t="s">
        <v>79</v>
      </c>
      <c r="G241" s="4" t="s">
        <v>83</v>
      </c>
      <c r="H241" s="4" t="s">
        <v>84</v>
      </c>
      <c r="I241" s="7"/>
      <c r="J241" s="8" t="s">
        <v>85</v>
      </c>
      <c r="K241" s="7">
        <v>1.0</v>
      </c>
    </row>
    <row r="242" ht="15.75" customHeight="1">
      <c r="A242" s="4" t="s">
        <v>633</v>
      </c>
      <c r="B242" s="5">
        <v>117832.0</v>
      </c>
      <c r="C242" s="4" t="s">
        <v>11</v>
      </c>
      <c r="D242" s="6" t="s">
        <v>11</v>
      </c>
      <c r="E242" s="5">
        <v>2.0</v>
      </c>
      <c r="F242" s="4" t="s">
        <v>569</v>
      </c>
      <c r="G242" s="4" t="s">
        <v>41</v>
      </c>
      <c r="H242" s="4" t="s">
        <v>634</v>
      </c>
      <c r="I242" s="7"/>
      <c r="J242" s="7"/>
      <c r="K242" s="7"/>
    </row>
    <row r="243" ht="15.75" customHeight="1">
      <c r="A243" s="4" t="s">
        <v>1313</v>
      </c>
      <c r="B243" s="5">
        <v>117962.0</v>
      </c>
      <c r="C243" s="4" t="s">
        <v>1052</v>
      </c>
      <c r="D243" s="6">
        <v>-0.51</v>
      </c>
      <c r="E243" s="5">
        <v>51.0</v>
      </c>
      <c r="F243" s="4" t="s">
        <v>70</v>
      </c>
      <c r="G243" s="4" t="s">
        <v>66</v>
      </c>
      <c r="H243" s="4" t="s">
        <v>1314</v>
      </c>
      <c r="I243" s="7"/>
      <c r="J243" s="7"/>
      <c r="K243" s="7"/>
    </row>
    <row r="244" ht="15.75" customHeight="1">
      <c r="A244" s="4" t="s">
        <v>244</v>
      </c>
      <c r="B244" s="5">
        <v>118000.0</v>
      </c>
      <c r="C244" s="4" t="s">
        <v>11</v>
      </c>
      <c r="D244" s="6" t="s">
        <v>11</v>
      </c>
      <c r="E244" s="5">
        <v>3000.0</v>
      </c>
      <c r="F244" s="4" t="s">
        <v>198</v>
      </c>
      <c r="G244" s="4" t="s">
        <v>41</v>
      </c>
      <c r="H244" s="4" t="s">
        <v>245</v>
      </c>
      <c r="I244" s="7"/>
      <c r="J244" s="7"/>
      <c r="K244" s="7"/>
    </row>
    <row r="245" ht="15.75" customHeight="1">
      <c r="A245" s="4" t="s">
        <v>246</v>
      </c>
      <c r="B245" s="5">
        <v>118000.0</v>
      </c>
      <c r="C245" s="4" t="s">
        <v>11</v>
      </c>
      <c r="D245" s="6" t="s">
        <v>11</v>
      </c>
      <c r="E245" s="5">
        <v>10000.0</v>
      </c>
      <c r="F245" s="4" t="s">
        <v>198</v>
      </c>
      <c r="G245" s="4" t="s">
        <v>41</v>
      </c>
      <c r="H245" s="4" t="s">
        <v>247</v>
      </c>
      <c r="I245" s="7"/>
      <c r="J245" s="7"/>
      <c r="K245" s="7"/>
    </row>
    <row r="246" ht="15.75" customHeight="1">
      <c r="A246" s="4" t="s">
        <v>1200</v>
      </c>
      <c r="B246" s="5">
        <v>118000.0</v>
      </c>
      <c r="C246" s="4" t="s">
        <v>969</v>
      </c>
      <c r="D246" s="6">
        <v>-0.44</v>
      </c>
      <c r="E246" s="5">
        <v>175.0</v>
      </c>
      <c r="F246" s="4" t="s">
        <v>198</v>
      </c>
      <c r="G246" s="4" t="s">
        <v>85</v>
      </c>
      <c r="H246" s="4" t="s">
        <v>1201</v>
      </c>
      <c r="I246" s="7"/>
      <c r="J246" s="7"/>
      <c r="K246" s="7"/>
    </row>
    <row r="247" ht="15.75" customHeight="1">
      <c r="A247" s="4" t="s">
        <v>635</v>
      </c>
      <c r="B247" s="5">
        <v>118900.0</v>
      </c>
      <c r="C247" s="4" t="s">
        <v>11</v>
      </c>
      <c r="D247" s="6" t="s">
        <v>11</v>
      </c>
      <c r="E247" s="5">
        <v>13.0</v>
      </c>
      <c r="F247" s="4" t="s">
        <v>569</v>
      </c>
      <c r="G247" s="4" t="s">
        <v>41</v>
      </c>
      <c r="H247" s="4" t="s">
        <v>636</v>
      </c>
      <c r="I247" s="7"/>
      <c r="J247" s="7"/>
      <c r="K247" s="7"/>
    </row>
    <row r="248" ht="15.75" customHeight="1">
      <c r="A248" s="4" t="s">
        <v>365</v>
      </c>
      <c r="B248" s="5">
        <v>119000.0</v>
      </c>
      <c r="C248" s="4" t="s">
        <v>11</v>
      </c>
      <c r="D248" s="6" t="s">
        <v>11</v>
      </c>
      <c r="E248" s="5">
        <v>10.0</v>
      </c>
      <c r="F248" s="4" t="s">
        <v>324</v>
      </c>
      <c r="G248" s="4" t="s">
        <v>99</v>
      </c>
      <c r="H248" s="4" t="s">
        <v>366</v>
      </c>
      <c r="I248" s="7"/>
      <c r="J248" s="7"/>
      <c r="K248" s="7"/>
    </row>
    <row r="249" ht="15.75" customHeight="1">
      <c r="A249" s="4" t="s">
        <v>1028</v>
      </c>
      <c r="B249" s="5">
        <v>119000.0</v>
      </c>
      <c r="C249" s="4" t="s">
        <v>1029</v>
      </c>
      <c r="D249" s="6">
        <v>-0.32</v>
      </c>
      <c r="E249" s="5">
        <v>60.0</v>
      </c>
      <c r="F249" s="4" t="s">
        <v>79</v>
      </c>
      <c r="G249" s="4" t="s">
        <v>66</v>
      </c>
      <c r="H249" s="4" t="s">
        <v>1030</v>
      </c>
      <c r="I249" s="7"/>
      <c r="J249" s="7"/>
      <c r="K249" s="7"/>
    </row>
    <row r="250" ht="15.75" customHeight="1">
      <c r="A250" s="4" t="s">
        <v>1031</v>
      </c>
      <c r="B250" s="5">
        <v>119266.0</v>
      </c>
      <c r="C250" s="4" t="s">
        <v>1029</v>
      </c>
      <c r="D250" s="6">
        <v>-0.32</v>
      </c>
      <c r="E250" s="5">
        <v>8000.0</v>
      </c>
      <c r="F250" s="4" t="s">
        <v>114</v>
      </c>
      <c r="G250" s="4" t="s">
        <v>66</v>
      </c>
      <c r="H250" s="4" t="s">
        <v>1030</v>
      </c>
      <c r="I250" s="7"/>
      <c r="J250" s="7"/>
      <c r="K250" s="7"/>
    </row>
    <row r="251" ht="15.75" customHeight="1">
      <c r="A251" s="4" t="s">
        <v>813</v>
      </c>
      <c r="B251" s="5">
        <v>119300.0</v>
      </c>
      <c r="C251" s="4" t="s">
        <v>814</v>
      </c>
      <c r="D251" s="6">
        <v>-0.01</v>
      </c>
      <c r="E251" s="5">
        <v>1000.0</v>
      </c>
      <c r="F251" s="4" t="s">
        <v>476</v>
      </c>
      <c r="G251" s="4" t="s">
        <v>41</v>
      </c>
      <c r="H251" s="4" t="s">
        <v>815</v>
      </c>
      <c r="I251" s="7"/>
      <c r="J251" s="7"/>
      <c r="K251" s="7"/>
    </row>
    <row r="252" ht="15.75" customHeight="1">
      <c r="A252" s="4" t="s">
        <v>1032</v>
      </c>
      <c r="B252" s="5">
        <v>119300.0</v>
      </c>
      <c r="C252" s="4" t="s">
        <v>1029</v>
      </c>
      <c r="D252" s="6">
        <v>-0.32</v>
      </c>
      <c r="E252" s="5">
        <v>618.0</v>
      </c>
      <c r="F252" s="4" t="s">
        <v>114</v>
      </c>
      <c r="G252" s="4" t="s">
        <v>66</v>
      </c>
      <c r="H252" s="4" t="s">
        <v>1030</v>
      </c>
      <c r="I252" s="7"/>
      <c r="J252" s="7"/>
      <c r="K252" s="7"/>
    </row>
    <row r="253" ht="15.75" customHeight="1">
      <c r="A253" s="4" t="s">
        <v>367</v>
      </c>
      <c r="B253" s="5">
        <v>119500.0</v>
      </c>
      <c r="C253" s="4" t="s">
        <v>11</v>
      </c>
      <c r="D253" s="6" t="s">
        <v>11</v>
      </c>
      <c r="E253" s="5">
        <v>86.0</v>
      </c>
      <c r="F253" s="4" t="s">
        <v>324</v>
      </c>
      <c r="G253" s="4" t="s">
        <v>16</v>
      </c>
      <c r="H253" s="4" t="s">
        <v>368</v>
      </c>
      <c r="I253" s="7"/>
      <c r="J253" s="7"/>
      <c r="K253" s="7"/>
    </row>
    <row r="254" ht="15.75" customHeight="1">
      <c r="A254" s="4" t="s">
        <v>369</v>
      </c>
      <c r="B254" s="5">
        <v>119800.0</v>
      </c>
      <c r="C254" s="4" t="s">
        <v>11</v>
      </c>
      <c r="D254" s="6" t="s">
        <v>11</v>
      </c>
      <c r="E254" s="5">
        <v>17.0</v>
      </c>
      <c r="F254" s="4" t="s">
        <v>324</v>
      </c>
      <c r="G254" s="4" t="s">
        <v>18</v>
      </c>
      <c r="H254" s="4" t="s">
        <v>370</v>
      </c>
      <c r="I254" s="7"/>
      <c r="J254" s="7"/>
      <c r="K254" s="7"/>
    </row>
    <row r="255" ht="15.75" customHeight="1">
      <c r="A255" s="4" t="s">
        <v>637</v>
      </c>
      <c r="B255" s="5">
        <v>119900.0</v>
      </c>
      <c r="C255" s="4" t="s">
        <v>11</v>
      </c>
      <c r="D255" s="6" t="s">
        <v>11</v>
      </c>
      <c r="E255" s="5">
        <v>5.0</v>
      </c>
      <c r="F255" s="4" t="s">
        <v>569</v>
      </c>
      <c r="G255" s="4" t="s">
        <v>71</v>
      </c>
      <c r="H255" s="4" t="s">
        <v>638</v>
      </c>
      <c r="I255" s="7"/>
      <c r="J255" s="7"/>
      <c r="K255" s="7"/>
    </row>
    <row r="256" ht="15.75" customHeight="1">
      <c r="A256" s="4" t="s">
        <v>1407</v>
      </c>
      <c r="B256" s="5">
        <v>119999.0</v>
      </c>
      <c r="C256" s="4" t="s">
        <v>996</v>
      </c>
      <c r="D256" s="6">
        <v>-0.6</v>
      </c>
      <c r="E256" s="5">
        <v>148.0</v>
      </c>
      <c r="F256" s="4" t="s">
        <v>114</v>
      </c>
      <c r="G256" s="4" t="s">
        <v>66</v>
      </c>
      <c r="H256" s="4" t="s">
        <v>1408</v>
      </c>
      <c r="I256" s="7"/>
      <c r="J256" s="7"/>
      <c r="K256" s="7"/>
    </row>
    <row r="257" ht="15.75" customHeight="1">
      <c r="A257" s="4" t="s">
        <v>174</v>
      </c>
      <c r="B257" s="5">
        <v>120000.0</v>
      </c>
      <c r="C257" s="4" t="s">
        <v>11</v>
      </c>
      <c r="D257" s="6" t="s">
        <v>11</v>
      </c>
      <c r="E257" s="5">
        <v>37.0</v>
      </c>
      <c r="F257" s="4" t="s">
        <v>157</v>
      </c>
      <c r="G257" s="4" t="s">
        <v>41</v>
      </c>
      <c r="H257" s="4" t="s">
        <v>175</v>
      </c>
      <c r="I257" s="7"/>
      <c r="J257" s="7"/>
      <c r="K257" s="7"/>
    </row>
    <row r="258" ht="15.75" customHeight="1">
      <c r="A258" s="4" t="s">
        <v>248</v>
      </c>
      <c r="B258" s="5">
        <v>120000.0</v>
      </c>
      <c r="C258" s="4" t="s">
        <v>11</v>
      </c>
      <c r="D258" s="6" t="s">
        <v>11</v>
      </c>
      <c r="E258" s="5">
        <v>546.0</v>
      </c>
      <c r="F258" s="4" t="s">
        <v>198</v>
      </c>
      <c r="G258" s="4" t="s">
        <v>41</v>
      </c>
      <c r="H258" s="4" t="s">
        <v>249</v>
      </c>
      <c r="I258" s="7"/>
      <c r="J258" s="7"/>
      <c r="K258" s="7"/>
    </row>
    <row r="259" ht="15.75" customHeight="1">
      <c r="A259" s="4" t="s">
        <v>639</v>
      </c>
      <c r="B259" s="5">
        <v>120000.0</v>
      </c>
      <c r="C259" s="4" t="s">
        <v>11</v>
      </c>
      <c r="D259" s="6" t="s">
        <v>11</v>
      </c>
      <c r="E259" s="5">
        <v>4.0</v>
      </c>
      <c r="F259" s="4" t="s">
        <v>569</v>
      </c>
      <c r="G259" s="4" t="s">
        <v>49</v>
      </c>
      <c r="H259" s="4" t="s">
        <v>640</v>
      </c>
      <c r="I259" s="7"/>
      <c r="J259" s="7"/>
      <c r="K259" s="7"/>
    </row>
    <row r="260" ht="15.75" customHeight="1">
      <c r="A260" s="4" t="s">
        <v>979</v>
      </c>
      <c r="B260" s="5">
        <v>120000.0</v>
      </c>
      <c r="C260" s="4" t="s">
        <v>980</v>
      </c>
      <c r="D260" s="6">
        <v>-0.24</v>
      </c>
      <c r="E260" s="5">
        <v>130.0</v>
      </c>
      <c r="F260" s="4" t="s">
        <v>157</v>
      </c>
      <c r="G260" s="4" t="s">
        <v>66</v>
      </c>
      <c r="H260" s="4" t="s">
        <v>981</v>
      </c>
      <c r="I260" s="7"/>
      <c r="J260" s="7"/>
      <c r="K260" s="7"/>
    </row>
    <row r="261" ht="15.75" customHeight="1">
      <c r="A261" s="4" t="s">
        <v>899</v>
      </c>
      <c r="B261" s="5">
        <v>120000.0</v>
      </c>
      <c r="C261" s="4" t="s">
        <v>1109</v>
      </c>
      <c r="D261" s="6">
        <v>-0.39</v>
      </c>
      <c r="E261" s="5">
        <v>708.0</v>
      </c>
      <c r="F261" s="4" t="s">
        <v>79</v>
      </c>
      <c r="G261" s="4" t="s">
        <v>66</v>
      </c>
      <c r="H261" s="4" t="s">
        <v>1110</v>
      </c>
      <c r="I261" s="7"/>
      <c r="J261" s="7"/>
      <c r="K261" s="7"/>
    </row>
    <row r="262" ht="15.75" customHeight="1">
      <c r="A262" s="4" t="s">
        <v>1419</v>
      </c>
      <c r="B262" s="5">
        <v>120000.0</v>
      </c>
      <c r="C262" s="4" t="s">
        <v>1420</v>
      </c>
      <c r="D262" s="6">
        <v>-0.61</v>
      </c>
      <c r="E262" s="5">
        <v>21.0</v>
      </c>
      <c r="F262" s="4" t="s">
        <v>324</v>
      </c>
      <c r="G262" s="4" t="s">
        <v>66</v>
      </c>
      <c r="H262" s="4" t="s">
        <v>1421</v>
      </c>
      <c r="I262" s="7"/>
      <c r="J262" s="7"/>
      <c r="K262" s="7"/>
    </row>
    <row r="263" ht="15.75" customHeight="1">
      <c r="A263" s="4" t="s">
        <v>1433</v>
      </c>
      <c r="B263" s="5">
        <v>120000.0</v>
      </c>
      <c r="C263" s="4" t="s">
        <v>1179</v>
      </c>
      <c r="D263" s="6">
        <v>-0.64</v>
      </c>
      <c r="E263" s="5">
        <v>20.0</v>
      </c>
      <c r="F263" s="4" t="s">
        <v>101</v>
      </c>
      <c r="G263" s="4" t="s">
        <v>66</v>
      </c>
      <c r="H263" s="4" t="s">
        <v>1434</v>
      </c>
      <c r="I263" s="7"/>
      <c r="J263" s="7"/>
      <c r="K263" s="7"/>
    </row>
    <row r="264" ht="15.75" customHeight="1">
      <c r="A264" s="4" t="s">
        <v>371</v>
      </c>
      <c r="B264" s="5">
        <v>120330.0</v>
      </c>
      <c r="C264" s="4" t="s">
        <v>11</v>
      </c>
      <c r="D264" s="6" t="s">
        <v>11</v>
      </c>
      <c r="E264" s="5">
        <v>9.0</v>
      </c>
      <c r="F264" s="4" t="s">
        <v>324</v>
      </c>
      <c r="G264" s="4" t="s">
        <v>45</v>
      </c>
      <c r="H264" s="4" t="s">
        <v>372</v>
      </c>
      <c r="I264" s="7"/>
      <c r="J264" s="7"/>
      <c r="K264" s="7"/>
    </row>
    <row r="265" ht="15.75" customHeight="1">
      <c r="A265" s="4" t="s">
        <v>250</v>
      </c>
      <c r="B265" s="5">
        <v>121485.0</v>
      </c>
      <c r="C265" s="4" t="s">
        <v>11</v>
      </c>
      <c r="D265" s="6" t="s">
        <v>11</v>
      </c>
      <c r="E265" s="5">
        <v>132.0</v>
      </c>
      <c r="F265" s="4" t="s">
        <v>198</v>
      </c>
      <c r="G265" s="4" t="s">
        <v>49</v>
      </c>
      <c r="H265" s="4" t="s">
        <v>251</v>
      </c>
      <c r="I265" s="7"/>
      <c r="J265" s="7"/>
      <c r="K265" s="7"/>
    </row>
    <row r="266" ht="15.75" customHeight="1">
      <c r="A266" s="4" t="s">
        <v>641</v>
      </c>
      <c r="B266" s="5">
        <v>122094.0</v>
      </c>
      <c r="C266" s="4" t="s">
        <v>11</v>
      </c>
      <c r="D266" s="6" t="s">
        <v>11</v>
      </c>
      <c r="E266" s="5">
        <v>23.0</v>
      </c>
      <c r="F266" s="4" t="s">
        <v>569</v>
      </c>
      <c r="G266" s="4" t="s">
        <v>45</v>
      </c>
      <c r="H266" s="4" t="s">
        <v>642</v>
      </c>
      <c r="I266" s="7"/>
      <c r="J266" s="7"/>
      <c r="K266" s="7"/>
    </row>
    <row r="267" ht="15.75" customHeight="1">
      <c r="A267" s="4" t="s">
        <v>15</v>
      </c>
      <c r="B267" s="5">
        <v>122400.0</v>
      </c>
      <c r="C267" s="4" t="s">
        <v>11</v>
      </c>
      <c r="D267" s="6" t="s">
        <v>11</v>
      </c>
      <c r="E267" s="6" t="s">
        <v>11</v>
      </c>
      <c r="F267" s="4" t="s">
        <v>11</v>
      </c>
      <c r="G267" s="4" t="s">
        <v>16</v>
      </c>
      <c r="H267" s="4" t="s">
        <v>17</v>
      </c>
      <c r="I267" s="7"/>
      <c r="J267" s="8" t="s">
        <v>18</v>
      </c>
      <c r="K267" s="7">
        <v>37.0</v>
      </c>
    </row>
    <row r="268" ht="15.75" customHeight="1">
      <c r="A268" s="4" t="s">
        <v>899</v>
      </c>
      <c r="B268" s="5">
        <v>122875.0</v>
      </c>
      <c r="C268" s="4" t="s">
        <v>900</v>
      </c>
      <c r="D268" s="6">
        <v>-0.08</v>
      </c>
      <c r="E268" s="5">
        <v>128.0</v>
      </c>
      <c r="F268" s="4" t="s">
        <v>114</v>
      </c>
      <c r="G268" s="4" t="s">
        <v>66</v>
      </c>
      <c r="H268" s="4" t="s">
        <v>901</v>
      </c>
      <c r="I268" s="7"/>
      <c r="J268" s="7"/>
      <c r="K268" s="7"/>
    </row>
    <row r="269" ht="15.75" customHeight="1">
      <c r="A269" s="4" t="s">
        <v>643</v>
      </c>
      <c r="B269" s="5">
        <v>123064.0</v>
      </c>
      <c r="C269" s="4" t="s">
        <v>11</v>
      </c>
      <c r="D269" s="6" t="s">
        <v>11</v>
      </c>
      <c r="E269" s="5">
        <v>5.0</v>
      </c>
      <c r="F269" s="4" t="s">
        <v>569</v>
      </c>
      <c r="G269" s="4" t="s">
        <v>12</v>
      </c>
      <c r="H269" s="4" t="s">
        <v>136</v>
      </c>
      <c r="I269" s="7"/>
      <c r="J269" s="7"/>
      <c r="K269" s="7"/>
    </row>
    <row r="270" ht="15.75" customHeight="1">
      <c r="A270" s="4" t="s">
        <v>902</v>
      </c>
      <c r="B270" s="5">
        <v>123064.0</v>
      </c>
      <c r="C270" s="4" t="s">
        <v>900</v>
      </c>
      <c r="D270" s="6">
        <v>-0.08</v>
      </c>
      <c r="E270" s="5">
        <v>2000.0</v>
      </c>
      <c r="F270" s="4" t="s">
        <v>157</v>
      </c>
      <c r="G270" s="4" t="s">
        <v>66</v>
      </c>
      <c r="H270" s="4" t="s">
        <v>903</v>
      </c>
      <c r="I270" s="7"/>
      <c r="J270" s="7"/>
      <c r="K270" s="7"/>
    </row>
    <row r="271" ht="15.75" customHeight="1">
      <c r="A271" s="4" t="s">
        <v>644</v>
      </c>
      <c r="B271" s="5">
        <v>123945.0</v>
      </c>
      <c r="C271" s="4" t="s">
        <v>11</v>
      </c>
      <c r="D271" s="6" t="s">
        <v>11</v>
      </c>
      <c r="E271" s="5">
        <v>5.0</v>
      </c>
      <c r="F271" s="4" t="s">
        <v>569</v>
      </c>
      <c r="G271" s="4" t="s">
        <v>18</v>
      </c>
      <c r="H271" s="4" t="s">
        <v>645</v>
      </c>
      <c r="I271" s="7"/>
      <c r="J271" s="7"/>
      <c r="K271" s="7"/>
    </row>
    <row r="272" ht="15.75" customHeight="1">
      <c r="A272" s="4" t="s">
        <v>86</v>
      </c>
      <c r="B272" s="5">
        <v>124450.0</v>
      </c>
      <c r="C272" s="4" t="s">
        <v>11</v>
      </c>
      <c r="D272" s="6" t="s">
        <v>11</v>
      </c>
      <c r="E272" s="5">
        <v>2000.0</v>
      </c>
      <c r="F272" s="4" t="s">
        <v>79</v>
      </c>
      <c r="G272" s="4" t="s">
        <v>41</v>
      </c>
      <c r="H272" s="4" t="s">
        <v>87</v>
      </c>
      <c r="I272" s="7"/>
      <c r="J272" s="8" t="s">
        <v>88</v>
      </c>
      <c r="K272" s="7">
        <v>1.0</v>
      </c>
    </row>
    <row r="273" ht="15.75" customHeight="1">
      <c r="A273" s="4" t="s">
        <v>126</v>
      </c>
      <c r="B273" s="5">
        <v>125000.0</v>
      </c>
      <c r="C273" s="4" t="s">
        <v>11</v>
      </c>
      <c r="D273" s="6" t="s">
        <v>11</v>
      </c>
      <c r="E273" s="5">
        <v>25.0</v>
      </c>
      <c r="F273" s="4" t="s">
        <v>114</v>
      </c>
      <c r="G273" s="4" t="s">
        <v>41</v>
      </c>
      <c r="H273" s="4" t="s">
        <v>127</v>
      </c>
      <c r="I273" s="7"/>
      <c r="J273" s="8" t="s">
        <v>128</v>
      </c>
      <c r="K273" s="7">
        <v>1.0</v>
      </c>
    </row>
    <row r="274" ht="15.75" customHeight="1">
      <c r="A274" s="4" t="s">
        <v>252</v>
      </c>
      <c r="B274" s="5">
        <v>125000.0</v>
      </c>
      <c r="C274" s="4" t="s">
        <v>11</v>
      </c>
      <c r="D274" s="6" t="s">
        <v>11</v>
      </c>
      <c r="E274" s="5">
        <v>1000.0</v>
      </c>
      <c r="F274" s="4" t="s">
        <v>198</v>
      </c>
      <c r="G274" s="4" t="s">
        <v>117</v>
      </c>
      <c r="H274" s="4" t="s">
        <v>253</v>
      </c>
      <c r="I274" s="7"/>
      <c r="J274" s="7"/>
      <c r="K274" s="7"/>
    </row>
    <row r="275" ht="15.75" customHeight="1">
      <c r="A275" s="4" t="s">
        <v>646</v>
      </c>
      <c r="B275" s="5">
        <v>125000.0</v>
      </c>
      <c r="C275" s="4" t="s">
        <v>11</v>
      </c>
      <c r="D275" s="6" t="s">
        <v>11</v>
      </c>
      <c r="E275" s="5">
        <v>12.0</v>
      </c>
      <c r="F275" s="4" t="s">
        <v>569</v>
      </c>
      <c r="G275" s="4" t="s">
        <v>41</v>
      </c>
      <c r="H275" s="4" t="s">
        <v>647</v>
      </c>
      <c r="I275" s="7"/>
      <c r="J275" s="7"/>
      <c r="K275" s="7"/>
    </row>
    <row r="276" ht="15.75" customHeight="1">
      <c r="A276" s="4" t="s">
        <v>648</v>
      </c>
      <c r="B276" s="5">
        <v>125000.0</v>
      </c>
      <c r="C276" s="4" t="s">
        <v>11</v>
      </c>
      <c r="D276" s="6" t="s">
        <v>11</v>
      </c>
      <c r="E276" s="5">
        <v>3.0</v>
      </c>
      <c r="F276" s="4" t="s">
        <v>569</v>
      </c>
      <c r="G276" s="4" t="s">
        <v>12</v>
      </c>
      <c r="H276" s="4" t="s">
        <v>649</v>
      </c>
      <c r="I276" s="7"/>
      <c r="J276" s="7"/>
      <c r="K276" s="7"/>
    </row>
    <row r="277" ht="15.75" customHeight="1">
      <c r="A277" s="4" t="s">
        <v>1175</v>
      </c>
      <c r="B277" s="5">
        <v>125000.0</v>
      </c>
      <c r="C277" s="4" t="s">
        <v>1176</v>
      </c>
      <c r="D277" s="6">
        <v>-0.59</v>
      </c>
      <c r="E277" s="5">
        <v>8.0</v>
      </c>
      <c r="F277" s="4" t="s">
        <v>55</v>
      </c>
      <c r="G277" s="4" t="s">
        <v>66</v>
      </c>
      <c r="H277" s="4" t="s">
        <v>1398</v>
      </c>
      <c r="I277" s="7"/>
      <c r="J277" s="7"/>
      <c r="K277" s="7"/>
    </row>
    <row r="278" ht="15.75" customHeight="1">
      <c r="A278" s="4" t="s">
        <v>176</v>
      </c>
      <c r="B278" s="5">
        <v>125010.0</v>
      </c>
      <c r="C278" s="4" t="s">
        <v>11</v>
      </c>
      <c r="D278" s="6" t="s">
        <v>11</v>
      </c>
      <c r="E278" s="5">
        <v>38.0</v>
      </c>
      <c r="F278" s="4" t="s">
        <v>157</v>
      </c>
      <c r="G278" s="4" t="s">
        <v>41</v>
      </c>
      <c r="H278" s="4" t="s">
        <v>177</v>
      </c>
      <c r="I278" s="7"/>
      <c r="J278" s="7"/>
      <c r="K278" s="7"/>
    </row>
    <row r="279" ht="15.75" customHeight="1">
      <c r="A279" s="4" t="s">
        <v>254</v>
      </c>
      <c r="B279" s="5">
        <v>125129.0</v>
      </c>
      <c r="C279" s="4" t="s">
        <v>11</v>
      </c>
      <c r="D279" s="6" t="s">
        <v>11</v>
      </c>
      <c r="E279" s="5">
        <v>1000.0</v>
      </c>
      <c r="F279" s="4" t="s">
        <v>198</v>
      </c>
      <c r="G279" s="4" t="s">
        <v>41</v>
      </c>
      <c r="H279" s="4" t="s">
        <v>255</v>
      </c>
      <c r="I279" s="7"/>
      <c r="J279" s="7"/>
      <c r="K279" s="7"/>
    </row>
    <row r="280" ht="15.75" customHeight="1">
      <c r="A280" s="4" t="s">
        <v>494</v>
      </c>
      <c r="B280" s="5">
        <v>125600.0</v>
      </c>
      <c r="C280" s="4" t="s">
        <v>11</v>
      </c>
      <c r="D280" s="6" t="s">
        <v>11</v>
      </c>
      <c r="E280" s="5">
        <v>42.0</v>
      </c>
      <c r="F280" s="4" t="s">
        <v>476</v>
      </c>
      <c r="G280" s="4" t="s">
        <v>35</v>
      </c>
      <c r="H280" s="4" t="s">
        <v>495</v>
      </c>
      <c r="I280" s="7"/>
      <c r="J280" s="7"/>
      <c r="K280" s="7"/>
    </row>
    <row r="281" ht="15.75" customHeight="1">
      <c r="A281" s="4" t="s">
        <v>373</v>
      </c>
      <c r="B281" s="5">
        <v>126000.0</v>
      </c>
      <c r="C281" s="4" t="s">
        <v>11</v>
      </c>
      <c r="D281" s="6" t="s">
        <v>11</v>
      </c>
      <c r="E281" s="5">
        <v>14.0</v>
      </c>
      <c r="F281" s="4" t="s">
        <v>324</v>
      </c>
      <c r="G281" s="4" t="s">
        <v>35</v>
      </c>
      <c r="H281" s="4" t="s">
        <v>374</v>
      </c>
      <c r="I281" s="7"/>
      <c r="J281" s="7"/>
      <c r="K281" s="7"/>
    </row>
    <row r="282" ht="15.75" customHeight="1">
      <c r="A282" s="4" t="s">
        <v>650</v>
      </c>
      <c r="B282" s="5">
        <v>126500.0</v>
      </c>
      <c r="C282" s="4" t="s">
        <v>11</v>
      </c>
      <c r="D282" s="6" t="s">
        <v>11</v>
      </c>
      <c r="E282" s="5">
        <v>43.0</v>
      </c>
      <c r="F282" s="4" t="s">
        <v>569</v>
      </c>
      <c r="G282" s="4" t="s">
        <v>23</v>
      </c>
      <c r="H282" s="4" t="s">
        <v>651</v>
      </c>
      <c r="I282" s="7"/>
      <c r="J282" s="7"/>
      <c r="K282" s="7"/>
    </row>
    <row r="283" ht="15.75" customHeight="1">
      <c r="A283" s="4" t="s">
        <v>1256</v>
      </c>
      <c r="B283" s="5">
        <v>127105.0</v>
      </c>
      <c r="C283" s="4" t="s">
        <v>1109</v>
      </c>
      <c r="D283" s="6">
        <v>-0.48</v>
      </c>
      <c r="E283" s="5">
        <v>9.0</v>
      </c>
      <c r="F283" s="4" t="s">
        <v>114</v>
      </c>
      <c r="G283" s="4" t="s">
        <v>66</v>
      </c>
      <c r="H283" s="4" t="s">
        <v>1257</v>
      </c>
      <c r="I283" s="7"/>
      <c r="J283" s="7"/>
      <c r="K283" s="7"/>
    </row>
    <row r="284" ht="15.75" customHeight="1">
      <c r="A284" s="4" t="s">
        <v>375</v>
      </c>
      <c r="B284" s="5">
        <v>127258.0</v>
      </c>
      <c r="C284" s="4" t="s">
        <v>11</v>
      </c>
      <c r="D284" s="6" t="s">
        <v>11</v>
      </c>
      <c r="E284" s="5">
        <v>78.0</v>
      </c>
      <c r="F284" s="4" t="s">
        <v>324</v>
      </c>
      <c r="G284" s="4" t="s">
        <v>16</v>
      </c>
      <c r="H284" s="4" t="s">
        <v>376</v>
      </c>
      <c r="I284" s="7"/>
      <c r="J284" s="7"/>
      <c r="K284" s="7"/>
    </row>
    <row r="285" ht="15.75" customHeight="1">
      <c r="A285" s="4" t="s">
        <v>256</v>
      </c>
      <c r="B285" s="5">
        <v>127440.0</v>
      </c>
      <c r="C285" s="4" t="s">
        <v>11</v>
      </c>
      <c r="D285" s="6" t="s">
        <v>11</v>
      </c>
      <c r="E285" s="5">
        <v>6.0</v>
      </c>
      <c r="F285" s="4" t="s">
        <v>198</v>
      </c>
      <c r="G285" s="4" t="s">
        <v>91</v>
      </c>
      <c r="H285" s="4" t="s">
        <v>257</v>
      </c>
      <c r="I285" s="7"/>
      <c r="J285" s="7"/>
      <c r="K285" s="7"/>
    </row>
    <row r="286" ht="15.75" customHeight="1">
      <c r="A286" s="4" t="s">
        <v>1274</v>
      </c>
      <c r="B286" s="5">
        <v>127500.0</v>
      </c>
      <c r="C286" s="4" t="s">
        <v>1109</v>
      </c>
      <c r="D286" s="6">
        <v>-0.49</v>
      </c>
      <c r="E286" s="5">
        <v>22.0</v>
      </c>
      <c r="F286" s="4" t="s">
        <v>324</v>
      </c>
      <c r="G286" s="4" t="s">
        <v>66</v>
      </c>
      <c r="H286" s="4" t="s">
        <v>1275</v>
      </c>
      <c r="I286" s="7"/>
      <c r="J286" s="7"/>
      <c r="K286" s="7"/>
    </row>
    <row r="287" ht="15.75" customHeight="1">
      <c r="A287" s="4" t="s">
        <v>938</v>
      </c>
      <c r="B287" s="5">
        <v>128000.0</v>
      </c>
      <c r="C287" s="4" t="s">
        <v>900</v>
      </c>
      <c r="D287" s="6">
        <v>-0.18</v>
      </c>
      <c r="E287" s="5">
        <v>130.0</v>
      </c>
      <c r="F287" s="4" t="s">
        <v>157</v>
      </c>
      <c r="G287" s="4" t="s">
        <v>66</v>
      </c>
      <c r="H287" s="4" t="s">
        <v>939</v>
      </c>
      <c r="I287" s="7"/>
      <c r="J287" s="7"/>
      <c r="K287" s="7"/>
    </row>
    <row r="288" ht="15.75" customHeight="1">
      <c r="A288" s="4" t="s">
        <v>1111</v>
      </c>
      <c r="B288" s="5">
        <v>128558.0</v>
      </c>
      <c r="C288" s="4" t="s">
        <v>1112</v>
      </c>
      <c r="D288" s="6">
        <v>-0.39</v>
      </c>
      <c r="E288" s="5">
        <v>4000.0</v>
      </c>
      <c r="F288" s="4" t="s">
        <v>157</v>
      </c>
      <c r="G288" s="4" t="s">
        <v>66</v>
      </c>
      <c r="H288" s="4" t="s">
        <v>1113</v>
      </c>
      <c r="I288" s="7"/>
      <c r="J288" s="7"/>
      <c r="K288" s="7"/>
    </row>
    <row r="289" ht="15.75" customHeight="1">
      <c r="A289" s="4" t="s">
        <v>1440</v>
      </c>
      <c r="B289" s="5">
        <v>128600.0</v>
      </c>
      <c r="C289" s="4" t="s">
        <v>996</v>
      </c>
      <c r="D289" s="6">
        <v>-0.67</v>
      </c>
      <c r="E289" s="5">
        <v>3000.0</v>
      </c>
      <c r="F289" s="4" t="s">
        <v>114</v>
      </c>
      <c r="G289" s="4" t="s">
        <v>66</v>
      </c>
      <c r="H289" s="4" t="s">
        <v>1441</v>
      </c>
      <c r="I289" s="7"/>
      <c r="J289" s="7"/>
      <c r="K289" s="7"/>
    </row>
    <row r="290" ht="15.75" customHeight="1">
      <c r="A290" s="4" t="s">
        <v>258</v>
      </c>
      <c r="B290" s="5">
        <v>128708.0</v>
      </c>
      <c r="C290" s="4" t="s">
        <v>11</v>
      </c>
      <c r="D290" s="6" t="s">
        <v>11</v>
      </c>
      <c r="E290" s="5">
        <v>3000.0</v>
      </c>
      <c r="F290" s="4" t="s">
        <v>198</v>
      </c>
      <c r="G290" s="4" t="s">
        <v>57</v>
      </c>
      <c r="H290" s="4" t="s">
        <v>259</v>
      </c>
      <c r="I290" s="7"/>
      <c r="J290" s="7"/>
      <c r="K290" s="7"/>
    </row>
    <row r="291" ht="15.75" customHeight="1">
      <c r="A291" s="4" t="s">
        <v>377</v>
      </c>
      <c r="B291" s="5">
        <v>129000.0</v>
      </c>
      <c r="C291" s="4" t="s">
        <v>11</v>
      </c>
      <c r="D291" s="6" t="s">
        <v>11</v>
      </c>
      <c r="E291" s="5">
        <v>537.0</v>
      </c>
      <c r="F291" s="4" t="s">
        <v>324</v>
      </c>
      <c r="G291" s="4" t="s">
        <v>66</v>
      </c>
      <c r="H291" s="4" t="s">
        <v>378</v>
      </c>
      <c r="I291" s="7"/>
      <c r="J291" s="7"/>
      <c r="K291" s="7"/>
    </row>
    <row r="292" ht="15.75" customHeight="1">
      <c r="A292" s="4" t="s">
        <v>178</v>
      </c>
      <c r="B292" s="5">
        <v>129637.0</v>
      </c>
      <c r="C292" s="4" t="s">
        <v>11</v>
      </c>
      <c r="D292" s="6" t="s">
        <v>11</v>
      </c>
      <c r="E292" s="5">
        <v>246.0</v>
      </c>
      <c r="F292" s="4" t="s">
        <v>157</v>
      </c>
      <c r="G292" s="4" t="s">
        <v>77</v>
      </c>
      <c r="H292" s="4" t="s">
        <v>179</v>
      </c>
      <c r="I292" s="7"/>
      <c r="J292" s="7"/>
      <c r="K292" s="7"/>
    </row>
    <row r="293" ht="15.75" customHeight="1">
      <c r="A293" s="4" t="s">
        <v>652</v>
      </c>
      <c r="B293" s="5">
        <v>129650.0</v>
      </c>
      <c r="C293" s="4" t="s">
        <v>11</v>
      </c>
      <c r="D293" s="6" t="s">
        <v>11</v>
      </c>
      <c r="E293" s="5">
        <v>5.0</v>
      </c>
      <c r="F293" s="4" t="s">
        <v>569</v>
      </c>
      <c r="G293" s="4" t="s">
        <v>12</v>
      </c>
      <c r="H293" s="4" t="s">
        <v>136</v>
      </c>
      <c r="I293" s="7"/>
      <c r="J293" s="7"/>
      <c r="K293" s="7"/>
    </row>
    <row r="294" ht="15.75" customHeight="1">
      <c r="A294" s="4" t="s">
        <v>379</v>
      </c>
      <c r="B294" s="5">
        <v>129658.0</v>
      </c>
      <c r="C294" s="4" t="s">
        <v>11</v>
      </c>
      <c r="D294" s="6" t="s">
        <v>11</v>
      </c>
      <c r="E294" s="5">
        <v>68.0</v>
      </c>
      <c r="F294" s="4" t="s">
        <v>324</v>
      </c>
      <c r="G294" s="4" t="s">
        <v>41</v>
      </c>
      <c r="H294" s="4" t="s">
        <v>380</v>
      </c>
      <c r="I294" s="7"/>
      <c r="J294" s="7"/>
      <c r="K294" s="7"/>
    </row>
    <row r="295" ht="15.75" customHeight="1">
      <c r="A295" s="4" t="s">
        <v>653</v>
      </c>
      <c r="B295" s="5">
        <v>129658.0</v>
      </c>
      <c r="C295" s="4" t="s">
        <v>11</v>
      </c>
      <c r="D295" s="6" t="s">
        <v>11</v>
      </c>
      <c r="E295" s="5">
        <v>21.0</v>
      </c>
      <c r="F295" s="4" t="s">
        <v>569</v>
      </c>
      <c r="G295" s="4" t="s">
        <v>41</v>
      </c>
      <c r="H295" s="4" t="s">
        <v>654</v>
      </c>
      <c r="I295" s="7"/>
      <c r="J295" s="7"/>
      <c r="K295" s="7"/>
    </row>
    <row r="296" ht="15.75" customHeight="1">
      <c r="A296" s="4" t="s">
        <v>655</v>
      </c>
      <c r="B296" s="5">
        <v>129900.0</v>
      </c>
      <c r="C296" s="4" t="s">
        <v>11</v>
      </c>
      <c r="D296" s="6" t="s">
        <v>11</v>
      </c>
      <c r="E296" s="5">
        <v>9.0</v>
      </c>
      <c r="F296" s="4" t="s">
        <v>569</v>
      </c>
      <c r="G296" s="4" t="s">
        <v>41</v>
      </c>
      <c r="H296" s="4" t="s">
        <v>656</v>
      </c>
      <c r="I296" s="7"/>
      <c r="J296" s="7"/>
      <c r="K296" s="7"/>
    </row>
    <row r="297" ht="15.75" customHeight="1">
      <c r="A297" s="4" t="s">
        <v>925</v>
      </c>
      <c r="B297" s="5">
        <v>129950.0</v>
      </c>
      <c r="C297" s="4" t="s">
        <v>926</v>
      </c>
      <c r="D297" s="6">
        <v>-0.15</v>
      </c>
      <c r="E297" s="5">
        <v>1000.0</v>
      </c>
      <c r="F297" s="4" t="s">
        <v>198</v>
      </c>
      <c r="G297" s="4" t="s">
        <v>37</v>
      </c>
      <c r="H297" s="4" t="s">
        <v>927</v>
      </c>
      <c r="I297" s="7"/>
      <c r="J297" s="7"/>
      <c r="K297" s="7"/>
    </row>
    <row r="298" ht="15.75" customHeight="1">
      <c r="A298" s="4" t="s">
        <v>928</v>
      </c>
      <c r="B298" s="5">
        <v>130000.0</v>
      </c>
      <c r="C298" s="4" t="s">
        <v>926</v>
      </c>
      <c r="D298" s="6">
        <v>-0.15</v>
      </c>
      <c r="E298" s="5">
        <v>709.0</v>
      </c>
      <c r="F298" s="4" t="s">
        <v>324</v>
      </c>
      <c r="G298" s="4" t="s">
        <v>37</v>
      </c>
      <c r="H298" s="4" t="s">
        <v>929</v>
      </c>
      <c r="I298" s="7"/>
      <c r="J298" s="7"/>
      <c r="K298" s="7"/>
    </row>
    <row r="299" ht="15.75" customHeight="1">
      <c r="A299" s="4" t="s">
        <v>904</v>
      </c>
      <c r="B299" s="5">
        <v>130300.0</v>
      </c>
      <c r="C299" s="4" t="s">
        <v>905</v>
      </c>
      <c r="D299" s="6">
        <v>-0.1</v>
      </c>
      <c r="E299" s="5">
        <v>10000.0</v>
      </c>
      <c r="F299" s="4" t="s">
        <v>157</v>
      </c>
      <c r="G299" s="4" t="s">
        <v>66</v>
      </c>
      <c r="H299" s="4" t="s">
        <v>906</v>
      </c>
      <c r="I299" s="7"/>
      <c r="J299" s="7"/>
      <c r="K299" s="7"/>
    </row>
    <row r="300" ht="15.75" customHeight="1">
      <c r="A300" s="4" t="s">
        <v>381</v>
      </c>
      <c r="B300" s="5">
        <v>130558.0</v>
      </c>
      <c r="C300" s="4" t="s">
        <v>11</v>
      </c>
      <c r="D300" s="6" t="s">
        <v>11</v>
      </c>
      <c r="E300" s="5">
        <v>14.0</v>
      </c>
      <c r="F300" s="4" t="s">
        <v>324</v>
      </c>
      <c r="G300" s="4" t="s">
        <v>73</v>
      </c>
      <c r="H300" s="4" t="s">
        <v>382</v>
      </c>
      <c r="I300" s="7"/>
      <c r="J300" s="7"/>
      <c r="K300" s="7"/>
    </row>
    <row r="301" ht="15.75" customHeight="1">
      <c r="A301" s="4" t="s">
        <v>657</v>
      </c>
      <c r="B301" s="5">
        <v>130558.0</v>
      </c>
      <c r="C301" s="4" t="s">
        <v>11</v>
      </c>
      <c r="D301" s="6" t="s">
        <v>11</v>
      </c>
      <c r="E301" s="5">
        <v>5.0</v>
      </c>
      <c r="F301" s="4" t="s">
        <v>569</v>
      </c>
      <c r="G301" s="4" t="s">
        <v>134</v>
      </c>
      <c r="H301" s="4" t="s">
        <v>658</v>
      </c>
      <c r="I301" s="7"/>
      <c r="J301" s="7"/>
      <c r="K301" s="7"/>
    </row>
    <row r="302" ht="15.75" customHeight="1">
      <c r="A302" s="4" t="s">
        <v>19</v>
      </c>
      <c r="B302" s="5">
        <v>130944.0</v>
      </c>
      <c r="C302" s="4" t="s">
        <v>11</v>
      </c>
      <c r="D302" s="6" t="s">
        <v>11</v>
      </c>
      <c r="E302" s="5">
        <v>3.0</v>
      </c>
      <c r="F302" s="4" t="s">
        <v>11</v>
      </c>
      <c r="G302" s="4" t="s">
        <v>18</v>
      </c>
      <c r="H302" s="4" t="s">
        <v>20</v>
      </c>
      <c r="I302" s="7"/>
      <c r="J302" s="8" t="s">
        <v>21</v>
      </c>
      <c r="K302" s="7">
        <v>8.0</v>
      </c>
    </row>
    <row r="303" ht="15.75" customHeight="1">
      <c r="A303" s="4" t="s">
        <v>260</v>
      </c>
      <c r="B303" s="5">
        <v>131100.0</v>
      </c>
      <c r="C303" s="4" t="s">
        <v>11</v>
      </c>
      <c r="D303" s="6" t="s">
        <v>11</v>
      </c>
      <c r="E303" s="5">
        <v>1000.0</v>
      </c>
      <c r="F303" s="4" t="s">
        <v>198</v>
      </c>
      <c r="G303" s="4" t="s">
        <v>41</v>
      </c>
      <c r="H303" s="4" t="s">
        <v>261</v>
      </c>
      <c r="I303" s="7"/>
      <c r="J303" s="7"/>
      <c r="K303" s="7"/>
    </row>
    <row r="304" ht="15.75" customHeight="1">
      <c r="A304" s="4" t="s">
        <v>565</v>
      </c>
      <c r="B304" s="5">
        <v>131250.0</v>
      </c>
      <c r="C304" s="4" t="s">
        <v>11</v>
      </c>
      <c r="D304" s="6" t="s">
        <v>11</v>
      </c>
      <c r="E304" s="6" t="s">
        <v>11</v>
      </c>
      <c r="F304" s="4" t="s">
        <v>566</v>
      </c>
      <c r="G304" s="4" t="s">
        <v>18</v>
      </c>
      <c r="H304" s="4" t="s">
        <v>567</v>
      </c>
      <c r="I304" s="7"/>
      <c r="J304" s="7"/>
      <c r="K304" s="7"/>
    </row>
    <row r="305" ht="15.75" customHeight="1">
      <c r="A305" s="4" t="s">
        <v>859</v>
      </c>
      <c r="B305" s="5">
        <v>132000.0</v>
      </c>
      <c r="C305" s="4" t="s">
        <v>860</v>
      </c>
      <c r="D305" s="6">
        <v>-0.04</v>
      </c>
      <c r="E305" s="5">
        <v>20.0</v>
      </c>
      <c r="F305" s="4" t="s">
        <v>324</v>
      </c>
      <c r="G305" s="4" t="s">
        <v>137</v>
      </c>
      <c r="H305" s="4" t="s">
        <v>861</v>
      </c>
      <c r="I305" s="7"/>
      <c r="J305" s="7"/>
      <c r="K305" s="7"/>
    </row>
    <row r="306" ht="15.75" customHeight="1">
      <c r="A306" s="4" t="s">
        <v>496</v>
      </c>
      <c r="B306" s="5">
        <v>132858.0</v>
      </c>
      <c r="C306" s="4" t="s">
        <v>11</v>
      </c>
      <c r="D306" s="6" t="s">
        <v>11</v>
      </c>
      <c r="E306" s="5">
        <v>72.0</v>
      </c>
      <c r="F306" s="4" t="s">
        <v>476</v>
      </c>
      <c r="G306" s="4" t="s">
        <v>41</v>
      </c>
      <c r="H306" s="4" t="s">
        <v>497</v>
      </c>
      <c r="I306" s="7"/>
      <c r="J306" s="7"/>
      <c r="K306" s="7"/>
    </row>
    <row r="307" ht="15.75" customHeight="1">
      <c r="A307" s="4" t="s">
        <v>1354</v>
      </c>
      <c r="B307" s="5">
        <v>133000.0</v>
      </c>
      <c r="C307" s="4" t="s">
        <v>1355</v>
      </c>
      <c r="D307" s="6">
        <v>-0.54</v>
      </c>
      <c r="E307" s="5">
        <v>77.0</v>
      </c>
      <c r="F307" s="4" t="s">
        <v>198</v>
      </c>
      <c r="G307" s="4" t="s">
        <v>66</v>
      </c>
      <c r="H307" s="4" t="s">
        <v>1356</v>
      </c>
      <c r="I307" s="7"/>
      <c r="J307" s="7"/>
      <c r="K307" s="7"/>
    </row>
    <row r="308" ht="15.75" customHeight="1">
      <c r="A308" s="4" t="s">
        <v>879</v>
      </c>
      <c r="B308" s="5">
        <v>133459.0</v>
      </c>
      <c r="C308" s="4" t="s">
        <v>880</v>
      </c>
      <c r="D308" s="6">
        <v>-0.06</v>
      </c>
      <c r="E308" s="5">
        <v>41.0</v>
      </c>
      <c r="F308" s="4" t="s">
        <v>476</v>
      </c>
      <c r="G308" s="4" t="s">
        <v>41</v>
      </c>
      <c r="H308" s="4" t="s">
        <v>881</v>
      </c>
      <c r="I308" s="7"/>
      <c r="J308" s="7"/>
      <c r="K308" s="7"/>
    </row>
    <row r="309" ht="15.75" customHeight="1">
      <c r="A309" s="4" t="s">
        <v>262</v>
      </c>
      <c r="B309" s="5">
        <v>133558.0</v>
      </c>
      <c r="C309" s="4" t="s">
        <v>11</v>
      </c>
      <c r="D309" s="6" t="s">
        <v>11</v>
      </c>
      <c r="E309" s="5">
        <v>129.0</v>
      </c>
      <c r="F309" s="4" t="s">
        <v>198</v>
      </c>
      <c r="G309" s="4" t="s">
        <v>115</v>
      </c>
      <c r="H309" s="4" t="s">
        <v>263</v>
      </c>
      <c r="I309" s="7"/>
      <c r="J309" s="7"/>
      <c r="K309" s="7"/>
    </row>
    <row r="310" ht="15.75" customHeight="1">
      <c r="A310" s="4" t="s">
        <v>383</v>
      </c>
      <c r="B310" s="5">
        <v>133859.0</v>
      </c>
      <c r="C310" s="4" t="s">
        <v>11</v>
      </c>
      <c r="D310" s="6" t="s">
        <v>11</v>
      </c>
      <c r="E310" s="5">
        <v>74.0</v>
      </c>
      <c r="F310" s="4" t="s">
        <v>324</v>
      </c>
      <c r="G310" s="4" t="s">
        <v>115</v>
      </c>
      <c r="H310" s="4" t="s">
        <v>136</v>
      </c>
      <c r="I310" s="7"/>
      <c r="J310" s="7"/>
      <c r="K310" s="7"/>
    </row>
    <row r="311" ht="15.75" customHeight="1">
      <c r="A311" s="4" t="s">
        <v>1070</v>
      </c>
      <c r="B311" s="5">
        <v>134000.0</v>
      </c>
      <c r="C311" s="4" t="s">
        <v>1071</v>
      </c>
      <c r="D311" s="6">
        <v>-0.36</v>
      </c>
      <c r="E311" s="5">
        <v>187.0</v>
      </c>
      <c r="F311" s="4" t="s">
        <v>198</v>
      </c>
      <c r="G311" s="4" t="s">
        <v>66</v>
      </c>
      <c r="H311" s="4" t="s">
        <v>1072</v>
      </c>
      <c r="I311" s="7"/>
      <c r="J311" s="7"/>
      <c r="K311" s="7"/>
    </row>
    <row r="312" ht="15.75" customHeight="1">
      <c r="A312" s="4" t="s">
        <v>264</v>
      </c>
      <c r="B312" s="5">
        <v>135000.0</v>
      </c>
      <c r="C312" s="4" t="s">
        <v>11</v>
      </c>
      <c r="D312" s="6" t="s">
        <v>11</v>
      </c>
      <c r="E312" s="5">
        <v>244.0</v>
      </c>
      <c r="F312" s="4" t="s">
        <v>198</v>
      </c>
      <c r="G312" s="4" t="s">
        <v>66</v>
      </c>
      <c r="H312" s="4" t="s">
        <v>265</v>
      </c>
      <c r="I312" s="7"/>
      <c r="J312" s="7"/>
      <c r="K312" s="7"/>
    </row>
    <row r="313" ht="15.75" customHeight="1">
      <c r="A313" s="4" t="s">
        <v>307</v>
      </c>
      <c r="B313" s="5">
        <v>135000.0</v>
      </c>
      <c r="C313" s="4" t="s">
        <v>11</v>
      </c>
      <c r="D313" s="6" t="s">
        <v>11</v>
      </c>
      <c r="E313" s="6" t="s">
        <v>11</v>
      </c>
      <c r="F313" s="4" t="s">
        <v>303</v>
      </c>
      <c r="G313" s="4" t="s">
        <v>29</v>
      </c>
      <c r="H313" s="4" t="s">
        <v>308</v>
      </c>
      <c r="I313" s="7"/>
      <c r="J313" s="7"/>
      <c r="K313" s="7"/>
    </row>
    <row r="314" ht="15.75" customHeight="1">
      <c r="A314" s="4" t="s">
        <v>659</v>
      </c>
      <c r="B314" s="5">
        <v>135000.0</v>
      </c>
      <c r="C314" s="4" t="s">
        <v>11</v>
      </c>
      <c r="D314" s="6" t="s">
        <v>11</v>
      </c>
      <c r="E314" s="5">
        <v>17.0</v>
      </c>
      <c r="F314" s="4" t="s">
        <v>569</v>
      </c>
      <c r="G314" s="4" t="s">
        <v>41</v>
      </c>
      <c r="H314" s="4" t="s">
        <v>660</v>
      </c>
      <c r="I314" s="7"/>
      <c r="J314" s="7"/>
      <c r="K314" s="7"/>
    </row>
    <row r="315" ht="15.75" customHeight="1">
      <c r="A315" s="4" t="s">
        <v>1033</v>
      </c>
      <c r="B315" s="5">
        <v>136858.0</v>
      </c>
      <c r="C315" s="4" t="s">
        <v>1034</v>
      </c>
      <c r="D315" s="6">
        <v>-0.32</v>
      </c>
      <c r="E315" s="5">
        <v>482.0</v>
      </c>
      <c r="F315" s="4" t="s">
        <v>324</v>
      </c>
      <c r="G315" s="4" t="s">
        <v>66</v>
      </c>
      <c r="H315" s="4" t="s">
        <v>1035</v>
      </c>
      <c r="I315" s="7"/>
      <c r="J315" s="7"/>
      <c r="K315" s="7"/>
    </row>
    <row r="316" ht="15.75" customHeight="1">
      <c r="A316" s="4" t="s">
        <v>266</v>
      </c>
      <c r="B316" s="5">
        <v>137000.0</v>
      </c>
      <c r="C316" s="4" t="s">
        <v>11</v>
      </c>
      <c r="D316" s="6" t="s">
        <v>11</v>
      </c>
      <c r="E316" s="5">
        <v>43.0</v>
      </c>
      <c r="F316" s="4" t="s">
        <v>198</v>
      </c>
      <c r="G316" s="4" t="s">
        <v>83</v>
      </c>
      <c r="H316" s="4" t="s">
        <v>267</v>
      </c>
      <c r="I316" s="7"/>
      <c r="J316" s="7"/>
      <c r="K316" s="7"/>
    </row>
    <row r="317" ht="15.75" customHeight="1">
      <c r="A317" s="4" t="s">
        <v>498</v>
      </c>
      <c r="B317" s="5">
        <v>137000.0</v>
      </c>
      <c r="C317" s="4" t="s">
        <v>11</v>
      </c>
      <c r="D317" s="6" t="s">
        <v>11</v>
      </c>
      <c r="E317" s="5">
        <v>230.0</v>
      </c>
      <c r="F317" s="4" t="s">
        <v>476</v>
      </c>
      <c r="G317" s="4" t="s">
        <v>41</v>
      </c>
      <c r="H317" s="4" t="s">
        <v>499</v>
      </c>
      <c r="I317" s="7"/>
      <c r="J317" s="7"/>
      <c r="K317" s="7"/>
    </row>
    <row r="318" ht="15.75" customHeight="1">
      <c r="A318" s="4" t="s">
        <v>500</v>
      </c>
      <c r="B318" s="5">
        <v>137000.0</v>
      </c>
      <c r="C318" s="4" t="s">
        <v>11</v>
      </c>
      <c r="D318" s="6" t="s">
        <v>11</v>
      </c>
      <c r="E318" s="5">
        <v>53.0</v>
      </c>
      <c r="F318" s="4" t="s">
        <v>476</v>
      </c>
      <c r="G318" s="4" t="s">
        <v>131</v>
      </c>
      <c r="H318" s="4" t="s">
        <v>501</v>
      </c>
      <c r="I318" s="7"/>
      <c r="J318" s="7"/>
      <c r="K318" s="7"/>
    </row>
    <row r="319" ht="15.75" customHeight="1">
      <c r="A319" s="4" t="s">
        <v>795</v>
      </c>
      <c r="B319" s="5">
        <v>137000.0</v>
      </c>
      <c r="C319" s="4" t="s">
        <v>796</v>
      </c>
      <c r="D319" s="6">
        <v>-0.01</v>
      </c>
      <c r="E319" s="5">
        <v>50.0</v>
      </c>
      <c r="F319" s="4" t="s">
        <v>324</v>
      </c>
      <c r="G319" s="4" t="s">
        <v>41</v>
      </c>
      <c r="H319" s="4" t="s">
        <v>797</v>
      </c>
      <c r="I319" s="7"/>
      <c r="J319" s="7"/>
      <c r="K319" s="7"/>
    </row>
    <row r="320" ht="15.75" customHeight="1">
      <c r="A320" s="4" t="s">
        <v>384</v>
      </c>
      <c r="B320" s="5">
        <v>138040.0</v>
      </c>
      <c r="C320" s="4" t="s">
        <v>11</v>
      </c>
      <c r="D320" s="6" t="s">
        <v>11</v>
      </c>
      <c r="E320" s="5">
        <v>98.0</v>
      </c>
      <c r="F320" s="4" t="s">
        <v>324</v>
      </c>
      <c r="G320" s="4" t="s">
        <v>41</v>
      </c>
      <c r="H320" s="4" t="s">
        <v>385</v>
      </c>
      <c r="I320" s="7"/>
      <c r="J320" s="7"/>
      <c r="K320" s="7"/>
    </row>
    <row r="321" ht="15.75" customHeight="1">
      <c r="A321" s="4" t="s">
        <v>268</v>
      </c>
      <c r="B321" s="5">
        <v>138400.0</v>
      </c>
      <c r="C321" s="4" t="s">
        <v>11</v>
      </c>
      <c r="D321" s="6" t="s">
        <v>11</v>
      </c>
      <c r="E321" s="5">
        <v>13.0</v>
      </c>
      <c r="F321" s="4" t="s">
        <v>198</v>
      </c>
      <c r="G321" s="4" t="s">
        <v>35</v>
      </c>
      <c r="H321" s="4" t="s">
        <v>269</v>
      </c>
      <c r="I321" s="7"/>
      <c r="J321" s="7"/>
      <c r="K321" s="7"/>
    </row>
    <row r="322" ht="15.75" customHeight="1">
      <c r="A322" s="4" t="s">
        <v>270</v>
      </c>
      <c r="B322" s="5">
        <v>138400.0</v>
      </c>
      <c r="C322" s="4" t="s">
        <v>11</v>
      </c>
      <c r="D322" s="6" t="s">
        <v>11</v>
      </c>
      <c r="E322" s="5">
        <v>212.0</v>
      </c>
      <c r="F322" s="4" t="s">
        <v>198</v>
      </c>
      <c r="G322" s="4" t="s">
        <v>35</v>
      </c>
      <c r="H322" s="4" t="s">
        <v>271</v>
      </c>
      <c r="I322" s="7"/>
      <c r="J322" s="7"/>
      <c r="K322" s="7"/>
    </row>
    <row r="323" ht="15.75" customHeight="1">
      <c r="A323" s="4" t="s">
        <v>502</v>
      </c>
      <c r="B323" s="5">
        <v>138602.0</v>
      </c>
      <c r="C323" s="4" t="s">
        <v>11</v>
      </c>
      <c r="D323" s="6" t="s">
        <v>11</v>
      </c>
      <c r="E323" s="5">
        <v>17.0</v>
      </c>
      <c r="F323" s="4" t="s">
        <v>476</v>
      </c>
      <c r="G323" s="4" t="s">
        <v>147</v>
      </c>
      <c r="H323" s="4" t="s">
        <v>503</v>
      </c>
      <c r="I323" s="7"/>
      <c r="J323" s="7"/>
      <c r="K323" s="7"/>
    </row>
    <row r="324" ht="15.75" customHeight="1">
      <c r="A324" s="4" t="s">
        <v>1094</v>
      </c>
      <c r="B324" s="5">
        <v>139000.0</v>
      </c>
      <c r="C324" s="4" t="s">
        <v>900</v>
      </c>
      <c r="D324" s="6">
        <v>-0.38</v>
      </c>
      <c r="E324" s="5">
        <v>48.0</v>
      </c>
      <c r="F324" s="4" t="s">
        <v>157</v>
      </c>
      <c r="G324" s="4" t="s">
        <v>66</v>
      </c>
      <c r="H324" s="4" t="s">
        <v>1095</v>
      </c>
      <c r="I324" s="7"/>
      <c r="J324" s="7"/>
      <c r="K324" s="7"/>
    </row>
    <row r="325" ht="15.75" customHeight="1">
      <c r="A325" s="4" t="s">
        <v>504</v>
      </c>
      <c r="B325" s="5">
        <v>139500.0</v>
      </c>
      <c r="C325" s="4" t="s">
        <v>11</v>
      </c>
      <c r="D325" s="6" t="s">
        <v>11</v>
      </c>
      <c r="E325" s="5">
        <v>121.0</v>
      </c>
      <c r="F325" s="4" t="s">
        <v>476</v>
      </c>
      <c r="G325" s="4" t="s">
        <v>41</v>
      </c>
      <c r="H325" s="4" t="s">
        <v>505</v>
      </c>
      <c r="I325" s="7"/>
      <c r="J325" s="7"/>
      <c r="K325" s="7"/>
    </row>
    <row r="326" ht="15.75" customHeight="1">
      <c r="A326" s="4" t="s">
        <v>272</v>
      </c>
      <c r="B326" s="5">
        <v>139800.0</v>
      </c>
      <c r="C326" s="4" t="s">
        <v>11</v>
      </c>
      <c r="D326" s="6" t="s">
        <v>11</v>
      </c>
      <c r="E326" s="5">
        <v>35.0</v>
      </c>
      <c r="F326" s="4" t="s">
        <v>198</v>
      </c>
      <c r="G326" s="4" t="s">
        <v>35</v>
      </c>
      <c r="H326" s="4" t="s">
        <v>273</v>
      </c>
      <c r="I326" s="7"/>
      <c r="J326" s="7"/>
      <c r="K326" s="7"/>
    </row>
    <row r="327" ht="15.75" customHeight="1">
      <c r="A327" s="4" t="s">
        <v>661</v>
      </c>
      <c r="B327" s="5">
        <v>139858.0</v>
      </c>
      <c r="C327" s="4" t="s">
        <v>11</v>
      </c>
      <c r="D327" s="6" t="s">
        <v>11</v>
      </c>
      <c r="E327" s="5">
        <v>102.0</v>
      </c>
      <c r="F327" s="4" t="s">
        <v>569</v>
      </c>
      <c r="G327" s="4" t="s">
        <v>41</v>
      </c>
      <c r="H327" s="4" t="s">
        <v>662</v>
      </c>
      <c r="I327" s="7"/>
      <c r="J327" s="7"/>
      <c r="K327" s="7"/>
    </row>
    <row r="328" ht="15.75" customHeight="1">
      <c r="A328" s="4" t="s">
        <v>506</v>
      </c>
      <c r="B328" s="5">
        <v>139900.0</v>
      </c>
      <c r="C328" s="4" t="s">
        <v>11</v>
      </c>
      <c r="D328" s="6" t="s">
        <v>11</v>
      </c>
      <c r="E328" s="5">
        <v>173.0</v>
      </c>
      <c r="F328" s="4" t="s">
        <v>476</v>
      </c>
      <c r="G328" s="4" t="s">
        <v>41</v>
      </c>
      <c r="H328" s="4" t="s">
        <v>507</v>
      </c>
      <c r="I328" s="7"/>
      <c r="J328" s="7"/>
      <c r="K328" s="7"/>
    </row>
    <row r="329" ht="15.75" customHeight="1">
      <c r="A329" s="4" t="s">
        <v>663</v>
      </c>
      <c r="B329" s="5">
        <v>140000.0</v>
      </c>
      <c r="C329" s="4" t="s">
        <v>11</v>
      </c>
      <c r="D329" s="6" t="s">
        <v>11</v>
      </c>
      <c r="E329" s="5">
        <v>89.0</v>
      </c>
      <c r="F329" s="4" t="s">
        <v>569</v>
      </c>
      <c r="G329" s="4" t="s">
        <v>41</v>
      </c>
      <c r="H329" s="4" t="s">
        <v>664</v>
      </c>
      <c r="I329" s="7"/>
      <c r="J329" s="7"/>
      <c r="K329" s="7"/>
    </row>
    <row r="330" ht="15.75" customHeight="1">
      <c r="A330" s="4" t="s">
        <v>665</v>
      </c>
      <c r="B330" s="5">
        <v>140000.0</v>
      </c>
      <c r="C330" s="4" t="s">
        <v>11</v>
      </c>
      <c r="D330" s="6" t="s">
        <v>11</v>
      </c>
      <c r="E330" s="5">
        <v>38.0</v>
      </c>
      <c r="F330" s="4" t="s">
        <v>569</v>
      </c>
      <c r="G330" s="4" t="s">
        <v>150</v>
      </c>
      <c r="H330" s="4" t="s">
        <v>666</v>
      </c>
      <c r="I330" s="7"/>
      <c r="J330" s="7"/>
      <c r="K330" s="7"/>
    </row>
    <row r="331" ht="15.75" customHeight="1">
      <c r="A331" s="4" t="s">
        <v>129</v>
      </c>
      <c r="B331" s="5">
        <v>140500.0</v>
      </c>
      <c r="C331" s="4" t="s">
        <v>11</v>
      </c>
      <c r="D331" s="6" t="s">
        <v>11</v>
      </c>
      <c r="E331" s="5">
        <v>2.0</v>
      </c>
      <c r="F331" s="4" t="s">
        <v>114</v>
      </c>
      <c r="G331" s="4" t="s">
        <v>53</v>
      </c>
      <c r="H331" s="4" t="s">
        <v>130</v>
      </c>
      <c r="I331" s="7"/>
      <c r="J331" s="8" t="s">
        <v>131</v>
      </c>
      <c r="K331" s="7">
        <v>3.0</v>
      </c>
    </row>
    <row r="332" ht="15.75" customHeight="1">
      <c r="A332" s="4" t="s">
        <v>1414</v>
      </c>
      <c r="B332" s="5">
        <v>142200.0</v>
      </c>
      <c r="C332" s="4" t="s">
        <v>1029</v>
      </c>
      <c r="D332" s="6">
        <v>-0.61</v>
      </c>
      <c r="E332" s="5">
        <v>56.0</v>
      </c>
      <c r="F332" s="4" t="s">
        <v>198</v>
      </c>
      <c r="G332" s="4" t="s">
        <v>66</v>
      </c>
      <c r="H332" s="4" t="s">
        <v>1415</v>
      </c>
      <c r="I332" s="7"/>
      <c r="J332" s="7"/>
      <c r="K332" s="7"/>
    </row>
    <row r="333" ht="15.75" customHeight="1">
      <c r="A333" s="4" t="s">
        <v>819</v>
      </c>
      <c r="B333" s="5">
        <v>142500.0</v>
      </c>
      <c r="C333" s="4" t="s">
        <v>820</v>
      </c>
      <c r="D333" s="6">
        <v>-0.01</v>
      </c>
      <c r="E333" s="5">
        <v>29.0</v>
      </c>
      <c r="F333" s="4" t="s">
        <v>569</v>
      </c>
      <c r="G333" s="4" t="s">
        <v>41</v>
      </c>
      <c r="H333" s="4" t="s">
        <v>821</v>
      </c>
      <c r="I333" s="7"/>
      <c r="J333" s="7"/>
      <c r="K333" s="7"/>
    </row>
    <row r="334" ht="15.75" customHeight="1">
      <c r="A334" s="4" t="s">
        <v>274</v>
      </c>
      <c r="B334" s="5">
        <v>142800.0</v>
      </c>
      <c r="C334" s="4" t="s">
        <v>11</v>
      </c>
      <c r="D334" s="6" t="s">
        <v>11</v>
      </c>
      <c r="E334" s="5">
        <v>470.0</v>
      </c>
      <c r="F334" s="4" t="s">
        <v>198</v>
      </c>
      <c r="G334" s="4" t="s">
        <v>45</v>
      </c>
      <c r="H334" s="4" t="s">
        <v>275</v>
      </c>
      <c r="I334" s="7"/>
      <c r="J334" s="7"/>
      <c r="K334" s="7"/>
    </row>
    <row r="335" ht="15.75" customHeight="1">
      <c r="A335" s="4" t="s">
        <v>309</v>
      </c>
      <c r="B335" s="5">
        <v>143960.0</v>
      </c>
      <c r="C335" s="4" t="s">
        <v>11</v>
      </c>
      <c r="D335" s="6" t="s">
        <v>11</v>
      </c>
      <c r="E335" s="6" t="s">
        <v>11</v>
      </c>
      <c r="F335" s="4" t="s">
        <v>303</v>
      </c>
      <c r="G335" s="4" t="s">
        <v>57</v>
      </c>
      <c r="H335" s="4" t="s">
        <v>310</v>
      </c>
      <c r="I335" s="7"/>
      <c r="J335" s="7"/>
      <c r="K335" s="7"/>
    </row>
    <row r="336" ht="15.75" customHeight="1">
      <c r="A336" s="4" t="s">
        <v>1334</v>
      </c>
      <c r="B336" s="5">
        <v>143960.0</v>
      </c>
      <c r="C336" s="4" t="s">
        <v>1335</v>
      </c>
      <c r="D336" s="6">
        <v>-0.52</v>
      </c>
      <c r="E336" s="5">
        <v>366.0</v>
      </c>
      <c r="F336" s="4" t="s">
        <v>324</v>
      </c>
      <c r="G336" s="4" t="s">
        <v>66</v>
      </c>
      <c r="H336" s="4" t="s">
        <v>1336</v>
      </c>
      <c r="I336" s="7"/>
      <c r="J336" s="7"/>
      <c r="K336" s="7"/>
    </row>
    <row r="337" ht="15.75" customHeight="1">
      <c r="A337" s="4" t="s">
        <v>100</v>
      </c>
      <c r="B337" s="5">
        <v>144000.0</v>
      </c>
      <c r="C337" s="4" t="s">
        <v>11</v>
      </c>
      <c r="D337" s="6" t="s">
        <v>11</v>
      </c>
      <c r="E337" s="5">
        <v>890.0</v>
      </c>
      <c r="F337" s="4" t="s">
        <v>101</v>
      </c>
      <c r="G337" s="4" t="s">
        <v>18</v>
      </c>
      <c r="H337" s="4" t="s">
        <v>102</v>
      </c>
      <c r="I337" s="7"/>
      <c r="J337" s="8" t="s">
        <v>103</v>
      </c>
      <c r="K337" s="7">
        <v>1.0</v>
      </c>
    </row>
    <row r="338" ht="15.75" customHeight="1">
      <c r="A338" s="4" t="s">
        <v>180</v>
      </c>
      <c r="B338" s="5">
        <v>144858.0</v>
      </c>
      <c r="C338" s="4" t="s">
        <v>11</v>
      </c>
      <c r="D338" s="6" t="s">
        <v>11</v>
      </c>
      <c r="E338" s="5">
        <v>216.0</v>
      </c>
      <c r="F338" s="4" t="s">
        <v>157</v>
      </c>
      <c r="G338" s="4" t="s">
        <v>18</v>
      </c>
      <c r="H338" s="4" t="s">
        <v>181</v>
      </c>
      <c r="I338" s="7"/>
      <c r="J338" s="7"/>
      <c r="K338" s="7"/>
    </row>
    <row r="339" ht="15.75" customHeight="1">
      <c r="A339" s="4" t="s">
        <v>132</v>
      </c>
      <c r="B339" s="5">
        <v>145000.0</v>
      </c>
      <c r="C339" s="4" t="s">
        <v>11</v>
      </c>
      <c r="D339" s="6" t="s">
        <v>11</v>
      </c>
      <c r="E339" s="5">
        <v>323.0</v>
      </c>
      <c r="F339" s="4" t="s">
        <v>114</v>
      </c>
      <c r="G339" s="4" t="s">
        <v>18</v>
      </c>
      <c r="H339" s="4" t="s">
        <v>133</v>
      </c>
      <c r="I339" s="7"/>
      <c r="J339" s="8" t="s">
        <v>134</v>
      </c>
      <c r="K339" s="7">
        <v>4.0</v>
      </c>
    </row>
    <row r="340" ht="15.75" customHeight="1">
      <c r="A340" s="4" t="s">
        <v>135</v>
      </c>
      <c r="B340" s="5">
        <v>145000.0</v>
      </c>
      <c r="C340" s="4" t="s">
        <v>11</v>
      </c>
      <c r="D340" s="6" t="s">
        <v>11</v>
      </c>
      <c r="E340" s="5">
        <v>47.0</v>
      </c>
      <c r="F340" s="4" t="s">
        <v>114</v>
      </c>
      <c r="G340" s="4" t="s">
        <v>18</v>
      </c>
      <c r="H340" s="4" t="s">
        <v>136</v>
      </c>
      <c r="I340" s="7"/>
      <c r="J340" s="8" t="s">
        <v>137</v>
      </c>
      <c r="K340" s="7">
        <v>4.0</v>
      </c>
    </row>
    <row r="341" ht="15.75" customHeight="1">
      <c r="A341" s="4" t="s">
        <v>46</v>
      </c>
      <c r="B341" s="5">
        <v>145200.0</v>
      </c>
      <c r="C341" s="4" t="s">
        <v>11</v>
      </c>
      <c r="D341" s="6" t="s">
        <v>11</v>
      </c>
      <c r="E341" s="5">
        <v>44.0</v>
      </c>
      <c r="F341" s="4" t="s">
        <v>47</v>
      </c>
      <c r="G341" s="4" t="s">
        <v>35</v>
      </c>
      <c r="H341" s="4" t="s">
        <v>48</v>
      </c>
      <c r="I341" s="7"/>
      <c r="J341" s="8" t="s">
        <v>49</v>
      </c>
      <c r="K341" s="7">
        <v>21.0</v>
      </c>
    </row>
    <row r="342" ht="15.75" customHeight="1">
      <c r="A342" s="4" t="s">
        <v>138</v>
      </c>
      <c r="B342" s="5">
        <v>145200.0</v>
      </c>
      <c r="C342" s="4" t="s">
        <v>11</v>
      </c>
      <c r="D342" s="6" t="s">
        <v>11</v>
      </c>
      <c r="E342" s="5">
        <v>7000.0</v>
      </c>
      <c r="F342" s="4" t="s">
        <v>114</v>
      </c>
      <c r="G342" s="4" t="s">
        <v>18</v>
      </c>
      <c r="H342" s="4" t="s">
        <v>139</v>
      </c>
      <c r="I342" s="7"/>
      <c r="J342" s="8" t="s">
        <v>12</v>
      </c>
      <c r="K342" s="7">
        <v>37.0</v>
      </c>
    </row>
    <row r="343" ht="15.75" customHeight="1">
      <c r="A343" s="4" t="s">
        <v>74</v>
      </c>
      <c r="B343" s="5">
        <v>145458.0</v>
      </c>
      <c r="C343" s="4" t="s">
        <v>11</v>
      </c>
      <c r="D343" s="6" t="s">
        <v>11</v>
      </c>
      <c r="E343" s="5">
        <v>14.0</v>
      </c>
      <c r="F343" s="4" t="s">
        <v>75</v>
      </c>
      <c r="G343" s="4" t="s">
        <v>35</v>
      </c>
      <c r="H343" s="4" t="s">
        <v>76</v>
      </c>
      <c r="I343" s="7"/>
      <c r="J343" s="8" t="s">
        <v>77</v>
      </c>
      <c r="K343" s="7">
        <v>1.0</v>
      </c>
    </row>
    <row r="344" ht="15.75" customHeight="1">
      <c r="A344" s="4" t="s">
        <v>508</v>
      </c>
      <c r="B344" s="5">
        <v>146652.0</v>
      </c>
      <c r="C344" s="4" t="s">
        <v>11</v>
      </c>
      <c r="D344" s="6" t="s">
        <v>11</v>
      </c>
      <c r="E344" s="5">
        <v>303.0</v>
      </c>
      <c r="F344" s="4" t="s">
        <v>476</v>
      </c>
      <c r="G344" s="4" t="s">
        <v>41</v>
      </c>
      <c r="H344" s="4" t="s">
        <v>509</v>
      </c>
      <c r="I344" s="7"/>
      <c r="J344" s="7"/>
      <c r="K344" s="7"/>
    </row>
    <row r="345" ht="15.75" customHeight="1">
      <c r="A345" s="4" t="s">
        <v>510</v>
      </c>
      <c r="B345" s="5">
        <v>148000.0</v>
      </c>
      <c r="C345" s="4" t="s">
        <v>11</v>
      </c>
      <c r="D345" s="6" t="s">
        <v>11</v>
      </c>
      <c r="E345" s="5">
        <v>250.0</v>
      </c>
      <c r="F345" s="4" t="s">
        <v>476</v>
      </c>
      <c r="G345" s="4" t="s">
        <v>41</v>
      </c>
      <c r="H345" s="4" t="s">
        <v>511</v>
      </c>
      <c r="I345" s="7"/>
      <c r="J345" s="7"/>
      <c r="K345" s="7"/>
    </row>
    <row r="346" ht="15.75" customHeight="1">
      <c r="A346" s="4" t="s">
        <v>182</v>
      </c>
      <c r="B346" s="5">
        <v>148400.0</v>
      </c>
      <c r="C346" s="4" t="s">
        <v>11</v>
      </c>
      <c r="D346" s="6" t="s">
        <v>11</v>
      </c>
      <c r="E346" s="5">
        <v>187.0</v>
      </c>
      <c r="F346" s="4" t="s">
        <v>157</v>
      </c>
      <c r="G346" s="4" t="s">
        <v>18</v>
      </c>
      <c r="H346" s="4" t="s">
        <v>183</v>
      </c>
      <c r="I346" s="7"/>
      <c r="J346" s="7"/>
      <c r="K346" s="7"/>
    </row>
    <row r="347" ht="15.75" customHeight="1">
      <c r="A347" s="4" t="s">
        <v>140</v>
      </c>
      <c r="B347" s="5">
        <v>149000.0</v>
      </c>
      <c r="C347" s="4" t="s">
        <v>11</v>
      </c>
      <c r="D347" s="6" t="s">
        <v>11</v>
      </c>
      <c r="E347" s="5">
        <v>874.0</v>
      </c>
      <c r="F347" s="4" t="s">
        <v>114</v>
      </c>
      <c r="G347" s="4" t="s">
        <v>18</v>
      </c>
      <c r="H347" s="4" t="s">
        <v>141</v>
      </c>
      <c r="I347" s="7"/>
      <c r="J347" s="8" t="s">
        <v>83</v>
      </c>
      <c r="K347" s="7">
        <v>8.0</v>
      </c>
    </row>
    <row r="348" ht="15.75" customHeight="1">
      <c r="A348" s="4" t="s">
        <v>276</v>
      </c>
      <c r="B348" s="5">
        <v>149000.0</v>
      </c>
      <c r="C348" s="4" t="s">
        <v>11</v>
      </c>
      <c r="D348" s="6" t="s">
        <v>11</v>
      </c>
      <c r="E348" s="5">
        <v>3000.0</v>
      </c>
      <c r="F348" s="4" t="s">
        <v>198</v>
      </c>
      <c r="G348" s="4" t="s">
        <v>41</v>
      </c>
      <c r="H348" s="4" t="s">
        <v>277</v>
      </c>
      <c r="I348" s="7"/>
      <c r="J348" s="7"/>
      <c r="K348" s="7"/>
    </row>
    <row r="349" ht="15.75" customHeight="1">
      <c r="A349" s="4" t="s">
        <v>667</v>
      </c>
      <c r="B349" s="5">
        <v>149650.0</v>
      </c>
      <c r="C349" s="4" t="s">
        <v>11</v>
      </c>
      <c r="D349" s="6" t="s">
        <v>11</v>
      </c>
      <c r="E349" s="5">
        <v>51.0</v>
      </c>
      <c r="F349" s="4" t="s">
        <v>569</v>
      </c>
      <c r="G349" s="4" t="s">
        <v>41</v>
      </c>
      <c r="H349" s="4" t="s">
        <v>668</v>
      </c>
      <c r="I349" s="7"/>
      <c r="J349" s="7"/>
      <c r="K349" s="7"/>
    </row>
    <row r="350" ht="15.75" customHeight="1">
      <c r="A350" s="4" t="s">
        <v>669</v>
      </c>
      <c r="B350" s="5">
        <v>150000.0</v>
      </c>
      <c r="C350" s="4" t="s">
        <v>11</v>
      </c>
      <c r="D350" s="6" t="s">
        <v>11</v>
      </c>
      <c r="E350" s="5">
        <v>1.0</v>
      </c>
      <c r="F350" s="4" t="s">
        <v>569</v>
      </c>
      <c r="G350" s="4" t="s">
        <v>106</v>
      </c>
      <c r="H350" s="4" t="s">
        <v>670</v>
      </c>
      <c r="I350" s="7"/>
      <c r="J350" s="7"/>
      <c r="K350" s="7"/>
    </row>
    <row r="351" ht="15.75" customHeight="1">
      <c r="A351" s="4" t="s">
        <v>864</v>
      </c>
      <c r="B351" s="5">
        <v>150000.0</v>
      </c>
      <c r="C351" s="4" t="s">
        <v>865</v>
      </c>
      <c r="D351" s="6">
        <v>-0.05</v>
      </c>
      <c r="E351" s="5">
        <v>62.0</v>
      </c>
      <c r="F351" s="4" t="s">
        <v>198</v>
      </c>
      <c r="G351" s="4" t="s">
        <v>41</v>
      </c>
      <c r="H351" s="4" t="s">
        <v>866</v>
      </c>
      <c r="I351" s="7"/>
      <c r="J351" s="7"/>
      <c r="K351" s="7"/>
    </row>
    <row r="352" ht="15.75" customHeight="1">
      <c r="A352" s="4" t="s">
        <v>1045</v>
      </c>
      <c r="B352" s="5">
        <v>150000.0</v>
      </c>
      <c r="C352" s="4" t="s">
        <v>1046</v>
      </c>
      <c r="D352" s="6">
        <v>-0.33</v>
      </c>
      <c r="E352" s="5">
        <v>5000.0</v>
      </c>
      <c r="F352" s="4" t="s">
        <v>198</v>
      </c>
      <c r="G352" s="4" t="s">
        <v>37</v>
      </c>
      <c r="H352" s="4" t="s">
        <v>1047</v>
      </c>
      <c r="I352" s="7"/>
      <c r="J352" s="7"/>
      <c r="K352" s="7"/>
    </row>
    <row r="353" ht="15.75" customHeight="1">
      <c r="A353" s="4" t="s">
        <v>850</v>
      </c>
      <c r="B353" s="5">
        <v>150700.0</v>
      </c>
      <c r="C353" s="4" t="s">
        <v>851</v>
      </c>
      <c r="D353" s="6">
        <v>-0.02</v>
      </c>
      <c r="E353" s="5">
        <v>31.0</v>
      </c>
      <c r="F353" s="4" t="s">
        <v>569</v>
      </c>
      <c r="G353" s="4" t="s">
        <v>16</v>
      </c>
      <c r="H353" s="4" t="s">
        <v>852</v>
      </c>
      <c r="I353" s="7"/>
      <c r="J353" s="7"/>
      <c r="K353" s="7"/>
    </row>
    <row r="354" ht="15.75" customHeight="1">
      <c r="A354" s="4" t="s">
        <v>142</v>
      </c>
      <c r="B354" s="5">
        <v>150999.0</v>
      </c>
      <c r="C354" s="4" t="s">
        <v>11</v>
      </c>
      <c r="D354" s="6" t="s">
        <v>11</v>
      </c>
      <c r="E354" s="5">
        <v>77.0</v>
      </c>
      <c r="F354" s="4" t="s">
        <v>114</v>
      </c>
      <c r="G354" s="4" t="s">
        <v>18</v>
      </c>
      <c r="H354" s="4" t="s">
        <v>143</v>
      </c>
      <c r="I354" s="7"/>
      <c r="J354" s="8" t="s">
        <v>144</v>
      </c>
      <c r="K354" s="7">
        <v>2.0</v>
      </c>
    </row>
    <row r="355" ht="15.75" customHeight="1">
      <c r="A355" s="4" t="s">
        <v>145</v>
      </c>
      <c r="B355" s="5">
        <v>151000.0</v>
      </c>
      <c r="C355" s="4" t="s">
        <v>11</v>
      </c>
      <c r="D355" s="6" t="s">
        <v>11</v>
      </c>
      <c r="E355" s="5">
        <v>59.0</v>
      </c>
      <c r="F355" s="4" t="s">
        <v>114</v>
      </c>
      <c r="G355" s="4" t="s">
        <v>18</v>
      </c>
      <c r="H355" s="4" t="s">
        <v>146</v>
      </c>
      <c r="I355" s="7"/>
      <c r="J355" s="8" t="s">
        <v>147</v>
      </c>
      <c r="K355" s="7">
        <v>7.0</v>
      </c>
    </row>
    <row r="356" ht="15.75" customHeight="1">
      <c r="A356" s="4" t="s">
        <v>42</v>
      </c>
      <c r="B356" s="5">
        <v>152458.0</v>
      </c>
      <c r="C356" s="4" t="s">
        <v>11</v>
      </c>
      <c r="D356" s="6" t="s">
        <v>11</v>
      </c>
      <c r="E356" s="5">
        <v>6.0</v>
      </c>
      <c r="F356" s="4" t="s">
        <v>43</v>
      </c>
      <c r="G356" s="4" t="s">
        <v>16</v>
      </c>
      <c r="H356" s="4" t="s">
        <v>44</v>
      </c>
      <c r="I356" s="7"/>
      <c r="J356" s="8" t="s">
        <v>45</v>
      </c>
      <c r="K356" s="7">
        <v>6.0</v>
      </c>
    </row>
    <row r="357" ht="15.75" customHeight="1">
      <c r="A357" s="4" t="s">
        <v>54</v>
      </c>
      <c r="B357" s="5">
        <v>152900.0</v>
      </c>
      <c r="C357" s="4" t="s">
        <v>11</v>
      </c>
      <c r="D357" s="6" t="s">
        <v>11</v>
      </c>
      <c r="E357" s="5">
        <v>7.0</v>
      </c>
      <c r="F357" s="4" t="s">
        <v>55</v>
      </c>
      <c r="G357" s="4" t="s">
        <v>35</v>
      </c>
      <c r="H357" s="4" t="s">
        <v>56</v>
      </c>
      <c r="I357" s="7"/>
      <c r="J357" s="8" t="s">
        <v>57</v>
      </c>
      <c r="K357" s="7">
        <v>15.0</v>
      </c>
    </row>
    <row r="358" ht="15.75" customHeight="1">
      <c r="A358" s="4" t="s">
        <v>278</v>
      </c>
      <c r="B358" s="5">
        <v>152900.0</v>
      </c>
      <c r="C358" s="4" t="s">
        <v>11</v>
      </c>
      <c r="D358" s="6" t="s">
        <v>11</v>
      </c>
      <c r="E358" s="5">
        <v>10.0</v>
      </c>
      <c r="F358" s="4" t="s">
        <v>198</v>
      </c>
      <c r="G358" s="4" t="s">
        <v>41</v>
      </c>
      <c r="H358" s="4" t="s">
        <v>279</v>
      </c>
      <c r="I358" s="7"/>
      <c r="J358" s="7"/>
      <c r="K358" s="7"/>
    </row>
    <row r="359" ht="15.75" customHeight="1">
      <c r="A359" s="4" t="s">
        <v>798</v>
      </c>
      <c r="B359" s="5">
        <v>153000.0</v>
      </c>
      <c r="C359" s="4" t="s">
        <v>799</v>
      </c>
      <c r="D359" s="6">
        <v>-0.01</v>
      </c>
      <c r="E359" s="5">
        <v>103.0</v>
      </c>
      <c r="F359" s="4" t="s">
        <v>324</v>
      </c>
      <c r="G359" s="4" t="s">
        <v>41</v>
      </c>
      <c r="H359" s="4" t="s">
        <v>800</v>
      </c>
      <c r="I359" s="7"/>
      <c r="J359" s="7"/>
      <c r="K359" s="7"/>
    </row>
    <row r="360" ht="15.75" customHeight="1">
      <c r="A360" s="4" t="s">
        <v>89</v>
      </c>
      <c r="B360" s="5">
        <v>155000.0</v>
      </c>
      <c r="C360" s="4" t="s">
        <v>11</v>
      </c>
      <c r="D360" s="6" t="s">
        <v>11</v>
      </c>
      <c r="E360" s="5">
        <v>68.0</v>
      </c>
      <c r="F360" s="4" t="s">
        <v>79</v>
      </c>
      <c r="G360" s="4" t="s">
        <v>18</v>
      </c>
      <c r="H360" s="4" t="s">
        <v>90</v>
      </c>
      <c r="I360" s="7"/>
      <c r="J360" s="8" t="s">
        <v>91</v>
      </c>
      <c r="K360" s="7">
        <v>1.0</v>
      </c>
    </row>
    <row r="361" ht="15.75" customHeight="1">
      <c r="A361" s="4" t="s">
        <v>671</v>
      </c>
      <c r="B361" s="5">
        <v>156000.0</v>
      </c>
      <c r="C361" s="4" t="s">
        <v>11</v>
      </c>
      <c r="D361" s="6" t="s">
        <v>11</v>
      </c>
      <c r="E361" s="5">
        <v>1.0</v>
      </c>
      <c r="F361" s="4" t="s">
        <v>569</v>
      </c>
      <c r="G361" s="4" t="s">
        <v>18</v>
      </c>
      <c r="H361" s="4" t="s">
        <v>672</v>
      </c>
      <c r="I361" s="7"/>
      <c r="J361" s="7"/>
      <c r="K361" s="7"/>
    </row>
    <row r="362" ht="15.75" customHeight="1">
      <c r="A362" s="4" t="s">
        <v>673</v>
      </c>
      <c r="B362" s="5">
        <v>156400.0</v>
      </c>
      <c r="C362" s="4" t="s">
        <v>11</v>
      </c>
      <c r="D362" s="6" t="s">
        <v>11</v>
      </c>
      <c r="E362" s="5">
        <v>2.0</v>
      </c>
      <c r="F362" s="4" t="s">
        <v>569</v>
      </c>
      <c r="G362" s="4" t="s">
        <v>18</v>
      </c>
      <c r="H362" s="4" t="s">
        <v>674</v>
      </c>
      <c r="I362" s="7"/>
      <c r="J362" s="7"/>
      <c r="K362" s="7"/>
    </row>
    <row r="363" ht="15.75" customHeight="1">
      <c r="A363" s="4" t="s">
        <v>512</v>
      </c>
      <c r="B363" s="5">
        <v>157500.0</v>
      </c>
      <c r="C363" s="4" t="s">
        <v>11</v>
      </c>
      <c r="D363" s="6" t="s">
        <v>11</v>
      </c>
      <c r="E363" s="5">
        <v>17.0</v>
      </c>
      <c r="F363" s="4" t="s">
        <v>476</v>
      </c>
      <c r="G363" s="4" t="s">
        <v>66</v>
      </c>
      <c r="H363" s="4" t="s">
        <v>513</v>
      </c>
      <c r="I363" s="7"/>
      <c r="J363" s="7"/>
      <c r="K363" s="7"/>
    </row>
    <row r="364" ht="15.75" customHeight="1">
      <c r="A364" s="4" t="s">
        <v>675</v>
      </c>
      <c r="B364" s="5">
        <v>157500.0</v>
      </c>
      <c r="C364" s="4" t="s">
        <v>11</v>
      </c>
      <c r="D364" s="6" t="s">
        <v>11</v>
      </c>
      <c r="E364" s="5">
        <v>1.0</v>
      </c>
      <c r="F364" s="4" t="s">
        <v>569</v>
      </c>
      <c r="G364" s="4" t="s">
        <v>41</v>
      </c>
      <c r="H364" s="4" t="s">
        <v>676</v>
      </c>
      <c r="I364" s="7"/>
      <c r="J364" s="7"/>
      <c r="K364" s="7"/>
    </row>
    <row r="365" ht="15.75" customHeight="1">
      <c r="A365" s="4" t="s">
        <v>1244</v>
      </c>
      <c r="B365" s="5">
        <v>158000.0</v>
      </c>
      <c r="C365" s="4" t="s">
        <v>1245</v>
      </c>
      <c r="D365" s="6">
        <v>-0.47</v>
      </c>
      <c r="E365" s="5">
        <v>154.0</v>
      </c>
      <c r="F365" s="4" t="s">
        <v>114</v>
      </c>
      <c r="G365" s="4" t="s">
        <v>66</v>
      </c>
      <c r="H365" s="4" t="s">
        <v>1246</v>
      </c>
      <c r="I365" s="7"/>
      <c r="J365" s="7"/>
      <c r="K365" s="7"/>
    </row>
    <row r="366" ht="15.75" customHeight="1">
      <c r="A366" s="4" t="s">
        <v>801</v>
      </c>
      <c r="B366" s="5">
        <v>158800.0</v>
      </c>
      <c r="C366" s="4" t="s">
        <v>802</v>
      </c>
      <c r="D366" s="6">
        <v>-0.01</v>
      </c>
      <c r="E366" s="5">
        <v>57.0</v>
      </c>
      <c r="F366" s="4" t="s">
        <v>324</v>
      </c>
      <c r="G366" s="4" t="s">
        <v>41</v>
      </c>
      <c r="H366" s="4" t="s">
        <v>803</v>
      </c>
      <c r="I366" s="7"/>
      <c r="J366" s="7"/>
      <c r="K366" s="7"/>
    </row>
    <row r="367" ht="15.75" customHeight="1">
      <c r="A367" s="4" t="s">
        <v>386</v>
      </c>
      <c r="B367" s="5">
        <v>159000.0</v>
      </c>
      <c r="C367" s="4" t="s">
        <v>11</v>
      </c>
      <c r="D367" s="6" t="s">
        <v>11</v>
      </c>
      <c r="E367" s="5">
        <v>134.0</v>
      </c>
      <c r="F367" s="4" t="s">
        <v>324</v>
      </c>
      <c r="G367" s="4" t="s">
        <v>150</v>
      </c>
      <c r="H367" s="4" t="s">
        <v>387</v>
      </c>
      <c r="I367" s="7"/>
      <c r="J367" s="7"/>
      <c r="K367" s="7"/>
    </row>
    <row r="368" ht="15.75" customHeight="1">
      <c r="A368" s="4" t="s">
        <v>388</v>
      </c>
      <c r="B368" s="5">
        <v>159000.0</v>
      </c>
      <c r="C368" s="4" t="s">
        <v>11</v>
      </c>
      <c r="D368" s="6" t="s">
        <v>11</v>
      </c>
      <c r="E368" s="5">
        <v>76.0</v>
      </c>
      <c r="F368" s="4" t="s">
        <v>324</v>
      </c>
      <c r="G368" s="4" t="s">
        <v>27</v>
      </c>
      <c r="H368" s="4" t="s">
        <v>389</v>
      </c>
      <c r="I368" s="7"/>
      <c r="J368" s="7"/>
      <c r="K368" s="7"/>
    </row>
    <row r="369" ht="15.75" customHeight="1">
      <c r="A369" s="4" t="s">
        <v>148</v>
      </c>
      <c r="B369" s="5">
        <v>159830.0</v>
      </c>
      <c r="C369" s="4" t="s">
        <v>11</v>
      </c>
      <c r="D369" s="6" t="s">
        <v>11</v>
      </c>
      <c r="E369" s="5">
        <v>126.0</v>
      </c>
      <c r="F369" s="4" t="s">
        <v>114</v>
      </c>
      <c r="G369" s="4" t="s">
        <v>18</v>
      </c>
      <c r="H369" s="4" t="s">
        <v>149</v>
      </c>
      <c r="I369" s="7"/>
      <c r="J369" s="8" t="s">
        <v>150</v>
      </c>
      <c r="K369" s="7">
        <v>3.0</v>
      </c>
    </row>
    <row r="370" ht="15.75" customHeight="1">
      <c r="A370" s="4" t="s">
        <v>92</v>
      </c>
      <c r="B370" s="5">
        <v>159999.0</v>
      </c>
      <c r="C370" s="4" t="s">
        <v>11</v>
      </c>
      <c r="D370" s="6" t="s">
        <v>11</v>
      </c>
      <c r="E370" s="5">
        <v>61.0</v>
      </c>
      <c r="F370" s="4" t="s">
        <v>79</v>
      </c>
      <c r="G370" s="4" t="s">
        <v>18</v>
      </c>
      <c r="H370" s="4" t="s">
        <v>93</v>
      </c>
      <c r="I370" s="7"/>
      <c r="J370" s="8" t="s">
        <v>27</v>
      </c>
      <c r="K370" s="7">
        <v>7.0</v>
      </c>
    </row>
    <row r="371" ht="15.75" customHeight="1">
      <c r="A371" s="4" t="s">
        <v>50</v>
      </c>
      <c r="B371" s="5">
        <v>160000.0</v>
      </c>
      <c r="C371" s="4" t="s">
        <v>11</v>
      </c>
      <c r="D371" s="6" t="s">
        <v>11</v>
      </c>
      <c r="E371" s="5">
        <v>28.0</v>
      </c>
      <c r="F371" s="4" t="s">
        <v>51</v>
      </c>
      <c r="G371" s="4" t="s">
        <v>18</v>
      </c>
      <c r="H371" s="4" t="s">
        <v>52</v>
      </c>
      <c r="I371" s="7"/>
      <c r="J371" s="8" t="s">
        <v>53</v>
      </c>
      <c r="K371" s="7">
        <v>7.0</v>
      </c>
    </row>
    <row r="372" ht="15.75" customHeight="1">
      <c r="A372" s="4" t="s">
        <v>94</v>
      </c>
      <c r="B372" s="5">
        <v>160000.0</v>
      </c>
      <c r="C372" s="4" t="s">
        <v>11</v>
      </c>
      <c r="D372" s="6" t="s">
        <v>11</v>
      </c>
      <c r="E372" s="5">
        <v>8.0</v>
      </c>
      <c r="F372" s="4" t="s">
        <v>79</v>
      </c>
      <c r="G372" s="4" t="s">
        <v>18</v>
      </c>
      <c r="H372" s="4" t="s">
        <v>95</v>
      </c>
      <c r="I372" s="7"/>
      <c r="J372" s="8" t="s">
        <v>96</v>
      </c>
      <c r="K372" s="7">
        <v>1.0</v>
      </c>
    </row>
    <row r="373" ht="15.75" customHeight="1">
      <c r="A373" s="4" t="s">
        <v>184</v>
      </c>
      <c r="B373" s="5">
        <v>160000.0</v>
      </c>
      <c r="C373" s="4" t="s">
        <v>11</v>
      </c>
      <c r="D373" s="6" t="s">
        <v>11</v>
      </c>
      <c r="E373" s="5">
        <v>117.0</v>
      </c>
      <c r="F373" s="4" t="s">
        <v>157</v>
      </c>
      <c r="G373" s="4" t="s">
        <v>18</v>
      </c>
      <c r="H373" s="4" t="s">
        <v>185</v>
      </c>
      <c r="I373" s="7"/>
      <c r="J373" s="7"/>
      <c r="K373" s="7"/>
    </row>
    <row r="374" ht="15.75" customHeight="1">
      <c r="A374" s="4" t="s">
        <v>280</v>
      </c>
      <c r="B374" s="5">
        <v>160000.0</v>
      </c>
      <c r="C374" s="4" t="s">
        <v>11</v>
      </c>
      <c r="D374" s="6" t="s">
        <v>11</v>
      </c>
      <c r="E374" s="5">
        <v>1000.0</v>
      </c>
      <c r="F374" s="4" t="s">
        <v>198</v>
      </c>
      <c r="G374" s="4" t="s">
        <v>57</v>
      </c>
      <c r="H374" s="4" t="s">
        <v>281</v>
      </c>
      <c r="I374" s="7"/>
      <c r="J374" s="7"/>
      <c r="K374" s="7"/>
    </row>
    <row r="375" ht="15.75" customHeight="1">
      <c r="A375" s="4" t="s">
        <v>816</v>
      </c>
      <c r="B375" s="5">
        <v>160000.0</v>
      </c>
      <c r="C375" s="4" t="s">
        <v>817</v>
      </c>
      <c r="D375" s="6">
        <v>-0.01</v>
      </c>
      <c r="E375" s="5">
        <v>283.0</v>
      </c>
      <c r="F375" s="4" t="s">
        <v>476</v>
      </c>
      <c r="G375" s="4" t="s">
        <v>41</v>
      </c>
      <c r="H375" s="4" t="s">
        <v>818</v>
      </c>
      <c r="I375" s="7"/>
      <c r="J375" s="7"/>
      <c r="K375" s="7"/>
    </row>
    <row r="376" ht="15.75" customHeight="1">
      <c r="A376" s="4" t="s">
        <v>282</v>
      </c>
      <c r="B376" s="5">
        <v>160030.0</v>
      </c>
      <c r="C376" s="4" t="s">
        <v>11</v>
      </c>
      <c r="D376" s="6" t="s">
        <v>11</v>
      </c>
      <c r="E376" s="5">
        <v>1000.0</v>
      </c>
      <c r="F376" s="4" t="s">
        <v>198</v>
      </c>
      <c r="G376" s="4" t="s">
        <v>57</v>
      </c>
      <c r="H376" s="4" t="s">
        <v>283</v>
      </c>
      <c r="I376" s="7"/>
      <c r="J376" s="7"/>
      <c r="K376" s="7"/>
    </row>
    <row r="377" ht="15.75" customHeight="1">
      <c r="A377" s="4" t="s">
        <v>514</v>
      </c>
      <c r="B377" s="5">
        <v>161350.0</v>
      </c>
      <c r="C377" s="4" t="s">
        <v>11</v>
      </c>
      <c r="D377" s="6" t="s">
        <v>11</v>
      </c>
      <c r="E377" s="5">
        <v>50.0</v>
      </c>
      <c r="F377" s="4" t="s">
        <v>476</v>
      </c>
      <c r="G377" s="4" t="s">
        <v>41</v>
      </c>
      <c r="H377" s="4" t="s">
        <v>515</v>
      </c>
      <c r="I377" s="7"/>
      <c r="J377" s="7"/>
      <c r="K377" s="7"/>
    </row>
    <row r="378" ht="15.75" customHeight="1">
      <c r="A378" s="4" t="s">
        <v>677</v>
      </c>
      <c r="B378" s="5">
        <v>161500.0</v>
      </c>
      <c r="C378" s="4" t="s">
        <v>11</v>
      </c>
      <c r="D378" s="6" t="s">
        <v>11</v>
      </c>
      <c r="E378" s="5">
        <v>13.0</v>
      </c>
      <c r="F378" s="4" t="s">
        <v>569</v>
      </c>
      <c r="G378" s="4" t="s">
        <v>147</v>
      </c>
      <c r="H378" s="4" t="s">
        <v>678</v>
      </c>
      <c r="I378" s="7"/>
      <c r="J378" s="7"/>
      <c r="K378" s="7"/>
    </row>
    <row r="379" ht="15.75" customHeight="1">
      <c r="A379" s="4" t="s">
        <v>390</v>
      </c>
      <c r="B379" s="5">
        <v>162000.0</v>
      </c>
      <c r="C379" s="4" t="s">
        <v>11</v>
      </c>
      <c r="D379" s="6" t="s">
        <v>11</v>
      </c>
      <c r="E379" s="5">
        <v>329.0</v>
      </c>
      <c r="F379" s="4" t="s">
        <v>324</v>
      </c>
      <c r="G379" s="4" t="s">
        <v>33</v>
      </c>
      <c r="H379" s="4" t="s">
        <v>391</v>
      </c>
      <c r="I379" s="7"/>
      <c r="J379" s="7"/>
      <c r="K379" s="7"/>
    </row>
    <row r="380" ht="15.75" customHeight="1">
      <c r="A380" s="4" t="s">
        <v>516</v>
      </c>
      <c r="B380" s="5">
        <v>162800.0</v>
      </c>
      <c r="C380" s="4" t="s">
        <v>11</v>
      </c>
      <c r="D380" s="6" t="s">
        <v>11</v>
      </c>
      <c r="E380" s="5">
        <v>131.0</v>
      </c>
      <c r="F380" s="4" t="s">
        <v>476</v>
      </c>
      <c r="G380" s="4" t="s">
        <v>41</v>
      </c>
      <c r="H380" s="4" t="s">
        <v>517</v>
      </c>
      <c r="I380" s="7"/>
      <c r="J380" s="7"/>
      <c r="K380" s="7"/>
    </row>
    <row r="381" ht="15.75" customHeight="1">
      <c r="A381" s="4" t="s">
        <v>853</v>
      </c>
      <c r="B381" s="5">
        <v>163000.0</v>
      </c>
      <c r="C381" s="4" t="s">
        <v>854</v>
      </c>
      <c r="D381" s="6">
        <v>-0.03</v>
      </c>
      <c r="E381" s="6" t="s">
        <v>11</v>
      </c>
      <c r="F381" s="4" t="s">
        <v>439</v>
      </c>
      <c r="G381" s="4" t="s">
        <v>53</v>
      </c>
      <c r="H381" s="4" t="s">
        <v>855</v>
      </c>
      <c r="I381" s="7"/>
      <c r="J381" s="7"/>
      <c r="K381" s="7"/>
    </row>
    <row r="382" ht="15.75" customHeight="1">
      <c r="A382" s="4" t="s">
        <v>912</v>
      </c>
      <c r="B382" s="5">
        <v>163000.0</v>
      </c>
      <c r="C382" s="4" t="s">
        <v>913</v>
      </c>
      <c r="D382" s="6">
        <v>-0.1</v>
      </c>
      <c r="E382" s="5">
        <v>30.0</v>
      </c>
      <c r="F382" s="4" t="s">
        <v>569</v>
      </c>
      <c r="G382" s="4" t="s">
        <v>37</v>
      </c>
      <c r="H382" s="4" t="s">
        <v>914</v>
      </c>
      <c r="I382" s="7"/>
      <c r="J382" s="7"/>
      <c r="K382" s="7"/>
    </row>
    <row r="383" ht="15.75" customHeight="1">
      <c r="A383" s="4" t="s">
        <v>915</v>
      </c>
      <c r="B383" s="5">
        <v>163000.0</v>
      </c>
      <c r="C383" s="4" t="s">
        <v>913</v>
      </c>
      <c r="D383" s="6">
        <v>-0.1</v>
      </c>
      <c r="E383" s="5">
        <v>5.0</v>
      </c>
      <c r="F383" s="4" t="s">
        <v>569</v>
      </c>
      <c r="G383" s="4" t="s">
        <v>37</v>
      </c>
      <c r="H383" s="4" t="s">
        <v>916</v>
      </c>
      <c r="I383" s="7"/>
      <c r="J383" s="7"/>
      <c r="K383" s="7"/>
    </row>
    <row r="384" ht="15.75" customHeight="1">
      <c r="A384" s="4" t="s">
        <v>1207</v>
      </c>
      <c r="B384" s="5">
        <v>164799.0</v>
      </c>
      <c r="C384" s="4" t="s">
        <v>1208</v>
      </c>
      <c r="D384" s="6">
        <v>-0.45</v>
      </c>
      <c r="E384" s="5">
        <v>98.0</v>
      </c>
      <c r="F384" s="4" t="s">
        <v>114</v>
      </c>
      <c r="G384" s="4" t="s">
        <v>41</v>
      </c>
      <c r="H384" s="4" t="s">
        <v>1209</v>
      </c>
      <c r="I384" s="7"/>
      <c r="J384" s="7"/>
      <c r="K384" s="7"/>
    </row>
    <row r="385" ht="15.75" customHeight="1">
      <c r="A385" s="4" t="s">
        <v>943</v>
      </c>
      <c r="B385" s="5">
        <v>164975.0</v>
      </c>
      <c r="C385" s="4" t="s">
        <v>944</v>
      </c>
      <c r="D385" s="6">
        <v>-0.18</v>
      </c>
      <c r="E385" s="5">
        <v>2.0</v>
      </c>
      <c r="F385" s="4" t="s">
        <v>569</v>
      </c>
      <c r="G385" s="4" t="s">
        <v>12</v>
      </c>
      <c r="H385" s="4" t="s">
        <v>945</v>
      </c>
      <c r="I385" s="7"/>
      <c r="J385" s="7"/>
      <c r="K385" s="7"/>
    </row>
    <row r="386" ht="15.75" customHeight="1">
      <c r="A386" s="4" t="s">
        <v>151</v>
      </c>
      <c r="B386" s="5">
        <v>165000.0</v>
      </c>
      <c r="C386" s="4" t="s">
        <v>11</v>
      </c>
      <c r="D386" s="6" t="s">
        <v>11</v>
      </c>
      <c r="E386" s="5">
        <v>6.0</v>
      </c>
      <c r="F386" s="4" t="s">
        <v>114</v>
      </c>
      <c r="G386" s="4" t="s">
        <v>18</v>
      </c>
      <c r="H386" s="4" t="s">
        <v>152</v>
      </c>
      <c r="I386" s="7"/>
      <c r="J386" s="8" t="s">
        <v>153</v>
      </c>
      <c r="K386" s="7">
        <v>1.0</v>
      </c>
    </row>
    <row r="387" ht="15.75" customHeight="1">
      <c r="A387" s="4" t="s">
        <v>186</v>
      </c>
      <c r="B387" s="5">
        <v>165000.0</v>
      </c>
      <c r="C387" s="4" t="s">
        <v>11</v>
      </c>
      <c r="D387" s="6" t="s">
        <v>11</v>
      </c>
      <c r="E387" s="5">
        <v>66.0</v>
      </c>
      <c r="F387" s="4" t="s">
        <v>157</v>
      </c>
      <c r="G387" s="4" t="s">
        <v>66</v>
      </c>
      <c r="H387" s="4" t="s">
        <v>187</v>
      </c>
      <c r="I387" s="7"/>
      <c r="J387" s="7"/>
      <c r="K387" s="7"/>
    </row>
    <row r="388" ht="15.75" customHeight="1">
      <c r="A388" s="4" t="s">
        <v>518</v>
      </c>
      <c r="B388" s="5">
        <v>165000.0</v>
      </c>
      <c r="C388" s="4" t="s">
        <v>11</v>
      </c>
      <c r="D388" s="6" t="s">
        <v>11</v>
      </c>
      <c r="E388" s="5">
        <v>109.0</v>
      </c>
      <c r="F388" s="4" t="s">
        <v>476</v>
      </c>
      <c r="G388" s="4" t="s">
        <v>41</v>
      </c>
      <c r="H388" s="4" t="s">
        <v>519</v>
      </c>
      <c r="I388" s="7"/>
      <c r="J388" s="7"/>
      <c r="K388" s="7"/>
    </row>
    <row r="389" ht="15.75" customHeight="1">
      <c r="A389" s="4" t="s">
        <v>780</v>
      </c>
      <c r="B389" s="5">
        <v>165000.0</v>
      </c>
      <c r="C389" s="4" t="s">
        <v>781</v>
      </c>
      <c r="D389" s="6">
        <v>-0.01</v>
      </c>
      <c r="E389" s="5">
        <v>83.0</v>
      </c>
      <c r="F389" s="4" t="s">
        <v>157</v>
      </c>
      <c r="G389" s="4" t="s">
        <v>137</v>
      </c>
      <c r="H389" s="4" t="s">
        <v>782</v>
      </c>
      <c r="I389" s="7"/>
      <c r="J389" s="7"/>
      <c r="K389" s="7"/>
    </row>
    <row r="390" ht="15.75" customHeight="1">
      <c r="A390" s="4" t="s">
        <v>888</v>
      </c>
      <c r="B390" s="5">
        <v>165000.0</v>
      </c>
      <c r="C390" s="4" t="s">
        <v>889</v>
      </c>
      <c r="D390" s="6">
        <v>-0.07</v>
      </c>
      <c r="E390" s="5">
        <v>122.0</v>
      </c>
      <c r="F390" s="4" t="s">
        <v>324</v>
      </c>
      <c r="G390" s="4" t="s">
        <v>37</v>
      </c>
      <c r="H390" s="4" t="s">
        <v>890</v>
      </c>
      <c r="I390" s="7"/>
      <c r="J390" s="7"/>
      <c r="K390" s="7"/>
    </row>
    <row r="391" ht="15.75" customHeight="1">
      <c r="A391" s="4" t="s">
        <v>891</v>
      </c>
      <c r="B391" s="5">
        <v>165000.0</v>
      </c>
      <c r="C391" s="4" t="s">
        <v>892</v>
      </c>
      <c r="D391" s="6">
        <v>-0.07</v>
      </c>
      <c r="E391" s="5">
        <v>159.0</v>
      </c>
      <c r="F391" s="4" t="s">
        <v>324</v>
      </c>
      <c r="G391" s="4" t="s">
        <v>37</v>
      </c>
      <c r="H391" s="4" t="s">
        <v>893</v>
      </c>
      <c r="I391" s="7"/>
      <c r="J391" s="7"/>
      <c r="K391" s="7"/>
    </row>
    <row r="392" ht="15.75" customHeight="1">
      <c r="A392" s="4" t="s">
        <v>919</v>
      </c>
      <c r="B392" s="5">
        <v>165000.0</v>
      </c>
      <c r="C392" s="4" t="s">
        <v>920</v>
      </c>
      <c r="D392" s="6">
        <v>-0.13</v>
      </c>
      <c r="E392" s="5">
        <v>76.0</v>
      </c>
      <c r="F392" s="4" t="s">
        <v>198</v>
      </c>
      <c r="G392" s="4" t="s">
        <v>37</v>
      </c>
      <c r="H392" s="4" t="s">
        <v>921</v>
      </c>
      <c r="I392" s="7"/>
      <c r="J392" s="7"/>
      <c r="K392" s="7"/>
    </row>
    <row r="393" ht="15.75" customHeight="1">
      <c r="A393" s="4" t="s">
        <v>897</v>
      </c>
      <c r="B393" s="5">
        <v>167000.0</v>
      </c>
      <c r="C393" s="4" t="s">
        <v>892</v>
      </c>
      <c r="D393" s="6">
        <v>-0.07</v>
      </c>
      <c r="E393" s="5">
        <v>41.0</v>
      </c>
      <c r="F393" s="4" t="s">
        <v>569</v>
      </c>
      <c r="G393" s="4" t="s">
        <v>37</v>
      </c>
      <c r="H393" s="4" t="s">
        <v>898</v>
      </c>
      <c r="I393" s="7"/>
      <c r="J393" s="7"/>
      <c r="K393" s="7"/>
    </row>
    <row r="394" ht="15.75" customHeight="1">
      <c r="A394" s="4" t="s">
        <v>985</v>
      </c>
      <c r="B394" s="5">
        <v>167500.0</v>
      </c>
      <c r="C394" s="4" t="s">
        <v>986</v>
      </c>
      <c r="D394" s="6">
        <v>-0.24</v>
      </c>
      <c r="E394" s="5">
        <v>36.0</v>
      </c>
      <c r="F394" s="4" t="s">
        <v>324</v>
      </c>
      <c r="G394" s="4" t="s">
        <v>37</v>
      </c>
      <c r="H394" s="4" t="s">
        <v>987</v>
      </c>
      <c r="I394" s="7"/>
      <c r="J394" s="7"/>
      <c r="K394" s="7"/>
    </row>
    <row r="395" ht="15.75" customHeight="1">
      <c r="A395" s="4" t="s">
        <v>154</v>
      </c>
      <c r="B395" s="5">
        <v>168000.0</v>
      </c>
      <c r="C395" s="4" t="s">
        <v>11</v>
      </c>
      <c r="D395" s="6" t="s">
        <v>11</v>
      </c>
      <c r="E395" s="5">
        <v>3.0</v>
      </c>
      <c r="F395" s="4" t="s">
        <v>114</v>
      </c>
      <c r="G395" s="4" t="s">
        <v>18</v>
      </c>
      <c r="H395" s="4" t="s">
        <v>155</v>
      </c>
      <c r="I395" s="7"/>
      <c r="J395" s="8" t="s">
        <v>115</v>
      </c>
      <c r="K395" s="7">
        <v>17.0</v>
      </c>
    </row>
    <row r="396" ht="15.75" customHeight="1">
      <c r="A396" s="4" t="s">
        <v>311</v>
      </c>
      <c r="B396" s="5">
        <v>168000.0</v>
      </c>
      <c r="C396" s="4" t="s">
        <v>11</v>
      </c>
      <c r="D396" s="6" t="s">
        <v>11</v>
      </c>
      <c r="E396" s="6" t="s">
        <v>11</v>
      </c>
      <c r="F396" s="4" t="s">
        <v>303</v>
      </c>
      <c r="G396" s="4" t="s">
        <v>18</v>
      </c>
      <c r="H396" s="4" t="s">
        <v>312</v>
      </c>
      <c r="I396" s="7"/>
      <c r="J396" s="7"/>
      <c r="K396" s="7"/>
    </row>
    <row r="397" ht="15.75" customHeight="1">
      <c r="A397" s="4" t="s">
        <v>392</v>
      </c>
      <c r="B397" s="5">
        <v>168000.0</v>
      </c>
      <c r="C397" s="4" t="s">
        <v>11</v>
      </c>
      <c r="D397" s="6" t="s">
        <v>11</v>
      </c>
      <c r="E397" s="5">
        <v>40.0</v>
      </c>
      <c r="F397" s="4" t="s">
        <v>324</v>
      </c>
      <c r="G397" s="4" t="s">
        <v>14</v>
      </c>
      <c r="H397" s="4" t="s">
        <v>393</v>
      </c>
      <c r="I397" s="7"/>
      <c r="J397" s="7"/>
      <c r="K397" s="7"/>
    </row>
    <row r="398" ht="15.75" customHeight="1">
      <c r="A398" s="4" t="s">
        <v>520</v>
      </c>
      <c r="B398" s="5">
        <v>168000.0</v>
      </c>
      <c r="C398" s="4" t="s">
        <v>11</v>
      </c>
      <c r="D398" s="6" t="s">
        <v>11</v>
      </c>
      <c r="E398" s="5">
        <v>65.0</v>
      </c>
      <c r="F398" s="4" t="s">
        <v>476</v>
      </c>
      <c r="G398" s="4" t="s">
        <v>35</v>
      </c>
      <c r="H398" s="4" t="s">
        <v>521</v>
      </c>
      <c r="I398" s="7"/>
      <c r="J398" s="7"/>
      <c r="K398" s="7"/>
    </row>
    <row r="399" ht="15.75" customHeight="1">
      <c r="A399" s="4" t="s">
        <v>679</v>
      </c>
      <c r="B399" s="5">
        <v>168000.0</v>
      </c>
      <c r="C399" s="4" t="s">
        <v>11</v>
      </c>
      <c r="D399" s="6" t="s">
        <v>11</v>
      </c>
      <c r="E399" s="5">
        <v>40.0</v>
      </c>
      <c r="F399" s="4" t="s">
        <v>569</v>
      </c>
      <c r="G399" s="4" t="s">
        <v>103</v>
      </c>
      <c r="H399" s="4" t="s">
        <v>680</v>
      </c>
      <c r="I399" s="7"/>
      <c r="J399" s="7"/>
      <c r="K399" s="7"/>
    </row>
    <row r="400" ht="15.75" customHeight="1">
      <c r="A400" s="4" t="s">
        <v>681</v>
      </c>
      <c r="B400" s="5">
        <v>170000.0</v>
      </c>
      <c r="C400" s="4" t="s">
        <v>11</v>
      </c>
      <c r="D400" s="6" t="s">
        <v>11</v>
      </c>
      <c r="E400" s="5">
        <v>7.0</v>
      </c>
      <c r="F400" s="4" t="s">
        <v>569</v>
      </c>
      <c r="G400" s="4" t="s">
        <v>29</v>
      </c>
      <c r="H400" s="4" t="s">
        <v>682</v>
      </c>
      <c r="I400" s="7"/>
      <c r="J400" s="7"/>
      <c r="K400" s="7"/>
    </row>
    <row r="401" ht="15.75" customHeight="1">
      <c r="A401" s="4" t="s">
        <v>1025</v>
      </c>
      <c r="B401" s="5">
        <v>170000.0</v>
      </c>
      <c r="C401" s="4" t="s">
        <v>1026</v>
      </c>
      <c r="D401" s="6">
        <v>-0.31</v>
      </c>
      <c r="E401" s="5">
        <v>2000.0</v>
      </c>
      <c r="F401" s="4" t="s">
        <v>198</v>
      </c>
      <c r="G401" s="4" t="s">
        <v>35</v>
      </c>
      <c r="H401" s="4" t="s">
        <v>1027</v>
      </c>
      <c r="I401" s="7"/>
      <c r="J401" s="7"/>
      <c r="K401" s="7"/>
    </row>
    <row r="402" ht="15.75" customHeight="1">
      <c r="A402" s="4" t="s">
        <v>847</v>
      </c>
      <c r="B402" s="5">
        <v>171120.0</v>
      </c>
      <c r="C402" s="4" t="s">
        <v>848</v>
      </c>
      <c r="D402" s="6">
        <v>-0.02</v>
      </c>
      <c r="E402" s="5">
        <v>95.0</v>
      </c>
      <c r="F402" s="4" t="s">
        <v>476</v>
      </c>
      <c r="G402" s="4" t="s">
        <v>21</v>
      </c>
      <c r="H402" s="4" t="s">
        <v>849</v>
      </c>
      <c r="I402" s="7"/>
      <c r="J402" s="7"/>
      <c r="K402" s="7"/>
    </row>
    <row r="403" ht="15.75" customHeight="1">
      <c r="A403" s="4" t="s">
        <v>394</v>
      </c>
      <c r="B403" s="5">
        <v>173280.0</v>
      </c>
      <c r="C403" s="4" t="s">
        <v>11</v>
      </c>
      <c r="D403" s="6" t="s">
        <v>11</v>
      </c>
      <c r="E403" s="5">
        <v>43.0</v>
      </c>
      <c r="F403" s="4" t="s">
        <v>324</v>
      </c>
      <c r="G403" s="4" t="s">
        <v>57</v>
      </c>
      <c r="H403" s="4" t="s">
        <v>395</v>
      </c>
      <c r="I403" s="7"/>
      <c r="J403" s="7"/>
      <c r="K403" s="7"/>
    </row>
    <row r="404" ht="15.75" customHeight="1">
      <c r="A404" s="4" t="s">
        <v>104</v>
      </c>
      <c r="B404" s="5">
        <v>173400.0</v>
      </c>
      <c r="C404" s="4" t="s">
        <v>11</v>
      </c>
      <c r="D404" s="6" t="s">
        <v>11</v>
      </c>
      <c r="E404" s="5">
        <v>7.0</v>
      </c>
      <c r="F404" s="4" t="s">
        <v>101</v>
      </c>
      <c r="G404" s="4" t="s">
        <v>16</v>
      </c>
      <c r="H404" s="4" t="s">
        <v>105</v>
      </c>
      <c r="I404" s="7"/>
      <c r="J404" s="8" t="s">
        <v>106</v>
      </c>
      <c r="K404" s="7">
        <v>3.0</v>
      </c>
    </row>
    <row r="405" ht="15.75" customHeight="1">
      <c r="A405" s="4" t="s">
        <v>522</v>
      </c>
      <c r="B405" s="5">
        <v>174000.0</v>
      </c>
      <c r="C405" s="4" t="s">
        <v>11</v>
      </c>
      <c r="D405" s="6" t="s">
        <v>11</v>
      </c>
      <c r="E405" s="5">
        <v>20.0</v>
      </c>
      <c r="F405" s="4" t="s">
        <v>476</v>
      </c>
      <c r="G405" s="4" t="s">
        <v>49</v>
      </c>
      <c r="H405" s="4" t="s">
        <v>523</v>
      </c>
      <c r="I405" s="7"/>
      <c r="J405" s="7"/>
      <c r="K405" s="7"/>
    </row>
    <row r="406" ht="15.75" customHeight="1">
      <c r="A406" s="4" t="s">
        <v>683</v>
      </c>
      <c r="B406" s="5">
        <v>175000.0</v>
      </c>
      <c r="C406" s="4" t="s">
        <v>11</v>
      </c>
      <c r="D406" s="6" t="s">
        <v>11</v>
      </c>
      <c r="E406" s="5">
        <v>9.0</v>
      </c>
      <c r="F406" s="4" t="s">
        <v>569</v>
      </c>
      <c r="G406" s="4" t="s">
        <v>83</v>
      </c>
      <c r="H406" s="4" t="s">
        <v>684</v>
      </c>
      <c r="I406" s="7"/>
      <c r="J406" s="7"/>
      <c r="K406" s="7"/>
    </row>
    <row r="407" ht="15.75" customHeight="1">
      <c r="A407" s="4" t="s">
        <v>960</v>
      </c>
      <c r="B407" s="5">
        <v>177146.0</v>
      </c>
      <c r="C407" s="4" t="s">
        <v>961</v>
      </c>
      <c r="D407" s="6">
        <v>-0.22</v>
      </c>
      <c r="E407" s="5">
        <v>26.0</v>
      </c>
      <c r="F407" s="4" t="s">
        <v>324</v>
      </c>
      <c r="G407" s="4" t="s">
        <v>37</v>
      </c>
      <c r="H407" s="4" t="s">
        <v>962</v>
      </c>
      <c r="I407" s="7"/>
      <c r="J407" s="7"/>
      <c r="K407" s="7"/>
    </row>
    <row r="408" ht="15.75" customHeight="1">
      <c r="A408" s="4" t="s">
        <v>1376</v>
      </c>
      <c r="B408" s="5">
        <v>177700.0</v>
      </c>
      <c r="C408" s="4" t="s">
        <v>1377</v>
      </c>
      <c r="D408" s="6">
        <v>-0.56</v>
      </c>
      <c r="E408" s="5">
        <v>10.0</v>
      </c>
      <c r="F408" s="4" t="s">
        <v>569</v>
      </c>
      <c r="G408" s="4" t="s">
        <v>41</v>
      </c>
      <c r="H408" s="4" t="s">
        <v>1378</v>
      </c>
      <c r="I408" s="7"/>
      <c r="J408" s="7"/>
      <c r="K408" s="7"/>
    </row>
    <row r="409" ht="15.75" customHeight="1">
      <c r="A409" s="4" t="s">
        <v>804</v>
      </c>
      <c r="B409" s="5">
        <v>178000.0</v>
      </c>
      <c r="C409" s="4" t="s">
        <v>805</v>
      </c>
      <c r="D409" s="6">
        <v>-0.01</v>
      </c>
      <c r="E409" s="5">
        <v>146.0</v>
      </c>
      <c r="F409" s="4" t="s">
        <v>324</v>
      </c>
      <c r="G409" s="4" t="s">
        <v>16</v>
      </c>
      <c r="H409" s="4" t="s">
        <v>806</v>
      </c>
      <c r="I409" s="7"/>
      <c r="J409" s="7"/>
      <c r="K409" s="7"/>
    </row>
    <row r="410" ht="15.75" customHeight="1">
      <c r="A410" s="4" t="s">
        <v>685</v>
      </c>
      <c r="B410" s="5">
        <v>179500.0</v>
      </c>
      <c r="C410" s="4" t="s">
        <v>11</v>
      </c>
      <c r="D410" s="6" t="s">
        <v>11</v>
      </c>
      <c r="E410" s="5">
        <v>11.0</v>
      </c>
      <c r="F410" s="4" t="s">
        <v>569</v>
      </c>
      <c r="G410" s="4" t="s">
        <v>66</v>
      </c>
      <c r="H410" s="4" t="s">
        <v>686</v>
      </c>
      <c r="I410" s="7"/>
      <c r="J410" s="7"/>
      <c r="K410" s="7"/>
    </row>
    <row r="411" ht="15.75" customHeight="1">
      <c r="A411" s="4" t="s">
        <v>524</v>
      </c>
      <c r="B411" s="5">
        <v>180000.0</v>
      </c>
      <c r="C411" s="4" t="s">
        <v>11</v>
      </c>
      <c r="D411" s="6" t="s">
        <v>11</v>
      </c>
      <c r="E411" s="5">
        <v>56.0</v>
      </c>
      <c r="F411" s="4" t="s">
        <v>476</v>
      </c>
      <c r="G411" s="4" t="s">
        <v>21</v>
      </c>
      <c r="H411" s="4" t="s">
        <v>525</v>
      </c>
      <c r="I411" s="7"/>
      <c r="J411" s="7"/>
      <c r="K411" s="7"/>
    </row>
    <row r="412" ht="15.75" customHeight="1">
      <c r="A412" s="4" t="s">
        <v>317</v>
      </c>
      <c r="B412" s="5">
        <v>180000.0</v>
      </c>
      <c r="C412" s="4" t="s">
        <v>11</v>
      </c>
      <c r="D412" s="6" t="s">
        <v>11</v>
      </c>
      <c r="E412" s="5">
        <v>217.0</v>
      </c>
      <c r="F412" s="4" t="s">
        <v>476</v>
      </c>
      <c r="G412" s="4" t="s">
        <v>41</v>
      </c>
      <c r="H412" s="4" t="s">
        <v>526</v>
      </c>
      <c r="I412" s="7"/>
      <c r="J412" s="7"/>
      <c r="K412" s="7"/>
    </row>
    <row r="413" ht="15.75" customHeight="1">
      <c r="A413" s="4" t="s">
        <v>687</v>
      </c>
      <c r="B413" s="5">
        <v>180000.0</v>
      </c>
      <c r="C413" s="4" t="s">
        <v>11</v>
      </c>
      <c r="D413" s="6" t="s">
        <v>11</v>
      </c>
      <c r="E413" s="5">
        <v>5.0</v>
      </c>
      <c r="F413" s="4" t="s">
        <v>569</v>
      </c>
      <c r="G413" s="4" t="s">
        <v>57</v>
      </c>
      <c r="H413" s="4" t="s">
        <v>395</v>
      </c>
      <c r="I413" s="7"/>
      <c r="J413" s="7"/>
      <c r="K413" s="7"/>
    </row>
    <row r="414" ht="15.75" customHeight="1">
      <c r="A414" s="4" t="s">
        <v>1059</v>
      </c>
      <c r="B414" s="5">
        <v>180000.0</v>
      </c>
      <c r="C414" s="4" t="s">
        <v>1060</v>
      </c>
      <c r="D414" s="6">
        <v>-0.36</v>
      </c>
      <c r="E414" s="5">
        <v>5.0</v>
      </c>
      <c r="F414" s="4" t="s">
        <v>114</v>
      </c>
      <c r="G414" s="4" t="s">
        <v>66</v>
      </c>
      <c r="H414" s="4" t="s">
        <v>1061</v>
      </c>
      <c r="I414" s="7"/>
      <c r="J414" s="7"/>
      <c r="K414" s="7"/>
    </row>
    <row r="415" ht="15.75" customHeight="1">
      <c r="A415" s="4" t="s">
        <v>1237</v>
      </c>
      <c r="B415" s="5">
        <v>180000.0</v>
      </c>
      <c r="C415" s="4" t="s">
        <v>1238</v>
      </c>
      <c r="D415" s="6">
        <v>-0.46</v>
      </c>
      <c r="E415" s="5">
        <v>418.0</v>
      </c>
      <c r="F415" s="4" t="s">
        <v>1182</v>
      </c>
      <c r="G415" s="4" t="s">
        <v>41</v>
      </c>
      <c r="H415" s="4" t="s">
        <v>1239</v>
      </c>
      <c r="I415" s="7"/>
      <c r="J415" s="7"/>
      <c r="K415" s="7"/>
    </row>
    <row r="416" ht="15.75" customHeight="1">
      <c r="A416" s="4" t="s">
        <v>313</v>
      </c>
      <c r="B416" s="5">
        <v>180900.0</v>
      </c>
      <c r="C416" s="4" t="s">
        <v>11</v>
      </c>
      <c r="D416" s="6" t="s">
        <v>11</v>
      </c>
      <c r="E416" s="6" t="s">
        <v>11</v>
      </c>
      <c r="F416" s="4" t="s">
        <v>303</v>
      </c>
      <c r="G416" s="4" t="s">
        <v>16</v>
      </c>
      <c r="H416" s="4" t="s">
        <v>314</v>
      </c>
      <c r="I416" s="7"/>
      <c r="J416" s="7"/>
      <c r="K416" s="7"/>
    </row>
    <row r="417" ht="15.75" customHeight="1">
      <c r="A417" s="4" t="s">
        <v>688</v>
      </c>
      <c r="B417" s="5">
        <v>180900.0</v>
      </c>
      <c r="C417" s="4" t="s">
        <v>11</v>
      </c>
      <c r="D417" s="6" t="s">
        <v>11</v>
      </c>
      <c r="E417" s="5">
        <v>9.0</v>
      </c>
      <c r="F417" s="4" t="s">
        <v>569</v>
      </c>
      <c r="G417" s="4" t="s">
        <v>35</v>
      </c>
      <c r="H417" s="4" t="s">
        <v>689</v>
      </c>
      <c r="I417" s="7"/>
      <c r="J417" s="7"/>
      <c r="K417" s="7"/>
    </row>
    <row r="418" ht="15.75" customHeight="1">
      <c r="A418" s="4" t="s">
        <v>690</v>
      </c>
      <c r="B418" s="5">
        <v>182000.0</v>
      </c>
      <c r="C418" s="4" t="s">
        <v>11</v>
      </c>
      <c r="D418" s="6" t="s">
        <v>11</v>
      </c>
      <c r="E418" s="5">
        <v>14.0</v>
      </c>
      <c r="F418" s="4" t="s">
        <v>569</v>
      </c>
      <c r="G418" s="4" t="s">
        <v>18</v>
      </c>
      <c r="H418" s="4" t="s">
        <v>691</v>
      </c>
      <c r="I418" s="7"/>
      <c r="J418" s="7"/>
      <c r="K418" s="7"/>
    </row>
    <row r="419" ht="15.75" customHeight="1">
      <c r="A419" s="4" t="s">
        <v>1292</v>
      </c>
      <c r="B419" s="5">
        <v>183000.0</v>
      </c>
      <c r="C419" s="4" t="s">
        <v>1293</v>
      </c>
      <c r="D419" s="6">
        <v>-0.5</v>
      </c>
      <c r="E419" s="5">
        <v>61.0</v>
      </c>
      <c r="F419" s="4" t="s">
        <v>157</v>
      </c>
      <c r="G419" s="4" t="s">
        <v>66</v>
      </c>
      <c r="H419" s="4" t="s">
        <v>1294</v>
      </c>
      <c r="I419" s="7"/>
      <c r="J419" s="7"/>
      <c r="K419" s="7"/>
    </row>
    <row r="420" ht="15.75" customHeight="1">
      <c r="A420" s="4" t="s">
        <v>894</v>
      </c>
      <c r="B420" s="5">
        <v>184000.0</v>
      </c>
      <c r="C420" s="4" t="s">
        <v>895</v>
      </c>
      <c r="D420" s="6">
        <v>-0.07</v>
      </c>
      <c r="E420" s="5">
        <v>127.0</v>
      </c>
      <c r="F420" s="4" t="s">
        <v>324</v>
      </c>
      <c r="G420" s="4" t="s">
        <v>41</v>
      </c>
      <c r="H420" s="4" t="s">
        <v>896</v>
      </c>
      <c r="I420" s="7"/>
      <c r="J420" s="7"/>
      <c r="K420" s="7"/>
    </row>
    <row r="421" ht="15.75" customHeight="1">
      <c r="A421" s="4" t="s">
        <v>1304</v>
      </c>
      <c r="B421" s="5">
        <v>184395.0</v>
      </c>
      <c r="C421" s="4" t="s">
        <v>1293</v>
      </c>
      <c r="D421" s="6">
        <v>-0.5</v>
      </c>
      <c r="E421" s="5">
        <v>3000.0</v>
      </c>
      <c r="F421" s="4" t="s">
        <v>324</v>
      </c>
      <c r="G421" s="4" t="s">
        <v>66</v>
      </c>
      <c r="H421" s="4" t="s">
        <v>1305</v>
      </c>
      <c r="I421" s="7"/>
      <c r="J421" s="7"/>
      <c r="K421" s="7"/>
    </row>
    <row r="422" ht="15.75" customHeight="1">
      <c r="A422" s="4" t="s">
        <v>692</v>
      </c>
      <c r="B422" s="5">
        <v>184500.0</v>
      </c>
      <c r="C422" s="4" t="s">
        <v>11</v>
      </c>
      <c r="D422" s="6" t="s">
        <v>11</v>
      </c>
      <c r="E422" s="5">
        <v>2.0</v>
      </c>
      <c r="F422" s="4" t="s">
        <v>569</v>
      </c>
      <c r="G422" s="4" t="s">
        <v>21</v>
      </c>
      <c r="H422" s="4" t="s">
        <v>693</v>
      </c>
      <c r="I422" s="7"/>
      <c r="J422" s="7"/>
      <c r="K422" s="7"/>
    </row>
    <row r="423" ht="15.75" customHeight="1">
      <c r="A423" s="4" t="s">
        <v>527</v>
      </c>
      <c r="B423" s="5">
        <v>185000.0</v>
      </c>
      <c r="C423" s="4" t="s">
        <v>11</v>
      </c>
      <c r="D423" s="6" t="s">
        <v>11</v>
      </c>
      <c r="E423" s="5">
        <v>30.0</v>
      </c>
      <c r="F423" s="4" t="s">
        <v>476</v>
      </c>
      <c r="G423" s="4" t="s">
        <v>147</v>
      </c>
      <c r="H423" s="4" t="s">
        <v>528</v>
      </c>
      <c r="I423" s="7"/>
      <c r="J423" s="7"/>
      <c r="K423" s="7"/>
    </row>
    <row r="424" ht="15.75" customHeight="1">
      <c r="A424" s="4" t="s">
        <v>396</v>
      </c>
      <c r="B424" s="5">
        <v>185500.0</v>
      </c>
      <c r="C424" s="4" t="s">
        <v>11</v>
      </c>
      <c r="D424" s="6" t="s">
        <v>11</v>
      </c>
      <c r="E424" s="5">
        <v>113.0</v>
      </c>
      <c r="F424" s="4" t="s">
        <v>324</v>
      </c>
      <c r="G424" s="4" t="s">
        <v>27</v>
      </c>
      <c r="H424" s="4" t="s">
        <v>397</v>
      </c>
      <c r="I424" s="7"/>
      <c r="J424" s="7"/>
      <c r="K424" s="7"/>
    </row>
    <row r="425" ht="15.75" customHeight="1">
      <c r="A425" s="4" t="s">
        <v>822</v>
      </c>
      <c r="B425" s="5">
        <v>186578.0</v>
      </c>
      <c r="C425" s="4" t="s">
        <v>823</v>
      </c>
      <c r="D425" s="6">
        <v>-0.01</v>
      </c>
      <c r="E425" s="5">
        <v>104.0</v>
      </c>
      <c r="F425" s="4" t="s">
        <v>569</v>
      </c>
      <c r="G425" s="4" t="s">
        <v>41</v>
      </c>
      <c r="H425" s="4" t="s">
        <v>824</v>
      </c>
      <c r="I425" s="7"/>
      <c r="J425" s="7"/>
      <c r="K425" s="7"/>
    </row>
    <row r="426" ht="15.75" customHeight="1">
      <c r="A426" s="4" t="s">
        <v>529</v>
      </c>
      <c r="B426" s="5">
        <v>188000.0</v>
      </c>
      <c r="C426" s="4" t="s">
        <v>11</v>
      </c>
      <c r="D426" s="6" t="s">
        <v>11</v>
      </c>
      <c r="E426" s="5">
        <v>1000.0</v>
      </c>
      <c r="F426" s="4" t="s">
        <v>476</v>
      </c>
      <c r="G426" s="4" t="s">
        <v>14</v>
      </c>
      <c r="H426" s="4" t="s">
        <v>530</v>
      </c>
      <c r="I426" s="7"/>
      <c r="J426" s="7"/>
      <c r="K426" s="7"/>
    </row>
    <row r="427" ht="15.75" customHeight="1">
      <c r="A427" s="4" t="s">
        <v>1232</v>
      </c>
      <c r="B427" s="5">
        <v>188000.0</v>
      </c>
      <c r="C427" s="4" t="s">
        <v>1233</v>
      </c>
      <c r="D427" s="6">
        <v>-0.46</v>
      </c>
      <c r="E427" s="5">
        <v>11.0</v>
      </c>
      <c r="F427" s="4" t="s">
        <v>324</v>
      </c>
      <c r="G427" s="4" t="s">
        <v>41</v>
      </c>
      <c r="H427" s="4" t="s">
        <v>1234</v>
      </c>
      <c r="I427" s="7"/>
      <c r="J427" s="7"/>
      <c r="K427" s="7"/>
    </row>
    <row r="428" ht="15.75" customHeight="1">
      <c r="A428" s="4" t="s">
        <v>825</v>
      </c>
      <c r="B428" s="5">
        <v>189000.0</v>
      </c>
      <c r="C428" s="4" t="s">
        <v>826</v>
      </c>
      <c r="D428" s="6">
        <v>-0.01</v>
      </c>
      <c r="E428" s="5">
        <v>164.0</v>
      </c>
      <c r="F428" s="4" t="s">
        <v>569</v>
      </c>
      <c r="G428" s="4" t="s">
        <v>49</v>
      </c>
      <c r="H428" s="4" t="s">
        <v>827</v>
      </c>
      <c r="I428" s="7"/>
      <c r="J428" s="7"/>
      <c r="K428" s="7"/>
    </row>
    <row r="429" ht="15.75" customHeight="1">
      <c r="A429" s="4" t="s">
        <v>315</v>
      </c>
      <c r="B429" s="5">
        <v>190000.0</v>
      </c>
      <c r="C429" s="4" t="s">
        <v>11</v>
      </c>
      <c r="D429" s="6" t="s">
        <v>11</v>
      </c>
      <c r="E429" s="6" t="s">
        <v>11</v>
      </c>
      <c r="F429" s="4" t="s">
        <v>303</v>
      </c>
      <c r="G429" s="4" t="s">
        <v>29</v>
      </c>
      <c r="H429" s="4" t="s">
        <v>316</v>
      </c>
      <c r="I429" s="7"/>
      <c r="J429" s="7"/>
      <c r="K429" s="7"/>
    </row>
    <row r="430" ht="15.75" customHeight="1">
      <c r="A430" s="4" t="s">
        <v>988</v>
      </c>
      <c r="B430" s="5">
        <v>190000.0</v>
      </c>
      <c r="C430" s="4" t="s">
        <v>989</v>
      </c>
      <c r="D430" s="6">
        <v>-0.24</v>
      </c>
      <c r="E430" s="5">
        <v>81.0</v>
      </c>
      <c r="F430" s="4" t="s">
        <v>324</v>
      </c>
      <c r="G430" s="4" t="s">
        <v>66</v>
      </c>
      <c r="H430" s="4" t="s">
        <v>990</v>
      </c>
      <c r="I430" s="7"/>
      <c r="J430" s="7"/>
      <c r="K430" s="7"/>
    </row>
    <row r="431" ht="15.75" customHeight="1">
      <c r="A431" s="4" t="s">
        <v>398</v>
      </c>
      <c r="B431" s="5">
        <v>190550.0</v>
      </c>
      <c r="C431" s="4" t="s">
        <v>11</v>
      </c>
      <c r="D431" s="6" t="s">
        <v>11</v>
      </c>
      <c r="E431" s="5">
        <v>8.0</v>
      </c>
      <c r="F431" s="4" t="s">
        <v>324</v>
      </c>
      <c r="G431" s="4" t="s">
        <v>147</v>
      </c>
      <c r="H431" s="4" t="s">
        <v>399</v>
      </c>
      <c r="I431" s="7"/>
      <c r="J431" s="7"/>
      <c r="K431" s="7"/>
    </row>
    <row r="432" ht="15.75" customHeight="1">
      <c r="A432" s="4" t="s">
        <v>531</v>
      </c>
      <c r="B432" s="5">
        <v>192000.0</v>
      </c>
      <c r="C432" s="4" t="s">
        <v>11</v>
      </c>
      <c r="D432" s="6" t="s">
        <v>11</v>
      </c>
      <c r="E432" s="5">
        <v>1000.0</v>
      </c>
      <c r="F432" s="4" t="s">
        <v>476</v>
      </c>
      <c r="G432" s="4" t="s">
        <v>14</v>
      </c>
      <c r="H432" s="4" t="s">
        <v>532</v>
      </c>
      <c r="I432" s="7"/>
      <c r="J432" s="7"/>
      <c r="K432" s="7"/>
    </row>
    <row r="433" ht="15.75" customHeight="1">
      <c r="A433" s="4" t="s">
        <v>188</v>
      </c>
      <c r="B433" s="5">
        <v>192738.0</v>
      </c>
      <c r="C433" s="4" t="s">
        <v>11</v>
      </c>
      <c r="D433" s="6" t="s">
        <v>11</v>
      </c>
      <c r="E433" s="5">
        <v>30.0</v>
      </c>
      <c r="F433" s="4" t="s">
        <v>157</v>
      </c>
      <c r="G433" s="4" t="s">
        <v>53</v>
      </c>
      <c r="H433" s="4" t="s">
        <v>189</v>
      </c>
      <c r="I433" s="7"/>
      <c r="J433" s="7"/>
      <c r="K433" s="7"/>
    </row>
    <row r="434" ht="15.75" customHeight="1">
      <c r="A434" s="4" t="s">
        <v>400</v>
      </c>
      <c r="B434" s="5">
        <v>194000.0</v>
      </c>
      <c r="C434" s="4" t="s">
        <v>11</v>
      </c>
      <c r="D434" s="6" t="s">
        <v>11</v>
      </c>
      <c r="E434" s="5">
        <v>6.0</v>
      </c>
      <c r="F434" s="4" t="s">
        <v>324</v>
      </c>
      <c r="G434" s="4" t="s">
        <v>41</v>
      </c>
      <c r="H434" s="4" t="s">
        <v>401</v>
      </c>
      <c r="I434" s="7"/>
      <c r="J434" s="7"/>
      <c r="K434" s="7"/>
    </row>
    <row r="435" ht="15.75" customHeight="1">
      <c r="A435" s="4" t="s">
        <v>533</v>
      </c>
      <c r="B435" s="5">
        <v>195000.0</v>
      </c>
      <c r="C435" s="4" t="s">
        <v>11</v>
      </c>
      <c r="D435" s="6" t="s">
        <v>11</v>
      </c>
      <c r="E435" s="5">
        <v>53.0</v>
      </c>
      <c r="F435" s="4" t="s">
        <v>476</v>
      </c>
      <c r="G435" s="4" t="s">
        <v>37</v>
      </c>
      <c r="H435" s="4" t="s">
        <v>534</v>
      </c>
      <c r="I435" s="7"/>
      <c r="J435" s="7"/>
      <c r="K435" s="7"/>
    </row>
    <row r="436" ht="15.75" customHeight="1">
      <c r="A436" s="4" t="s">
        <v>1285</v>
      </c>
      <c r="B436" s="5">
        <v>195000.0</v>
      </c>
      <c r="C436" s="4" t="s">
        <v>1286</v>
      </c>
      <c r="D436" s="6">
        <v>-0.5</v>
      </c>
      <c r="E436" s="5">
        <v>534.0</v>
      </c>
      <c r="F436" s="4" t="s">
        <v>114</v>
      </c>
      <c r="G436" s="4" t="s">
        <v>66</v>
      </c>
      <c r="H436" s="4" t="s">
        <v>1287</v>
      </c>
      <c r="I436" s="7"/>
      <c r="J436" s="7"/>
      <c r="K436" s="7"/>
    </row>
    <row r="437" ht="15.75" customHeight="1">
      <c r="A437" s="4" t="s">
        <v>971</v>
      </c>
      <c r="B437" s="5">
        <v>196000.0</v>
      </c>
      <c r="C437" s="4" t="s">
        <v>972</v>
      </c>
      <c r="D437" s="6">
        <v>-0.23</v>
      </c>
      <c r="E437" s="5">
        <v>3.0</v>
      </c>
      <c r="F437" s="4" t="s">
        <v>569</v>
      </c>
      <c r="G437" s="4" t="s">
        <v>37</v>
      </c>
      <c r="H437" s="4" t="s">
        <v>973</v>
      </c>
      <c r="I437" s="7"/>
      <c r="J437" s="7"/>
      <c r="K437" s="7"/>
    </row>
    <row r="438" ht="15.75" customHeight="1">
      <c r="A438" s="4" t="s">
        <v>1152</v>
      </c>
      <c r="B438" s="5">
        <v>199000.0</v>
      </c>
      <c r="C438" s="4" t="s">
        <v>1153</v>
      </c>
      <c r="D438" s="6">
        <v>-0.42</v>
      </c>
      <c r="E438" s="5">
        <v>27.0</v>
      </c>
      <c r="F438" s="4" t="s">
        <v>198</v>
      </c>
      <c r="G438" s="4" t="s">
        <v>66</v>
      </c>
      <c r="H438" s="4" t="s">
        <v>1154</v>
      </c>
      <c r="I438" s="7"/>
      <c r="J438" s="7"/>
      <c r="K438" s="7"/>
    </row>
    <row r="439" ht="15.75" customHeight="1">
      <c r="A439" s="4" t="s">
        <v>1204</v>
      </c>
      <c r="B439" s="5">
        <v>199000.0</v>
      </c>
      <c r="C439" s="4" t="s">
        <v>1205</v>
      </c>
      <c r="D439" s="6">
        <v>-0.45</v>
      </c>
      <c r="E439" s="5">
        <v>63.0</v>
      </c>
      <c r="F439" s="4" t="s">
        <v>70</v>
      </c>
      <c r="G439" s="4" t="s">
        <v>66</v>
      </c>
      <c r="H439" s="4" t="s">
        <v>1206</v>
      </c>
      <c r="I439" s="7"/>
      <c r="J439" s="7"/>
      <c r="K439" s="7"/>
    </row>
    <row r="440" ht="15.75" customHeight="1">
      <c r="A440" s="4" t="s">
        <v>284</v>
      </c>
      <c r="B440" s="5">
        <v>200000.0</v>
      </c>
      <c r="C440" s="4" t="s">
        <v>11</v>
      </c>
      <c r="D440" s="6" t="s">
        <v>11</v>
      </c>
      <c r="E440" s="5">
        <v>465.0</v>
      </c>
      <c r="F440" s="4" t="s">
        <v>198</v>
      </c>
      <c r="G440" s="4" t="s">
        <v>33</v>
      </c>
      <c r="H440" s="4" t="s">
        <v>285</v>
      </c>
      <c r="I440" s="7"/>
      <c r="J440" s="7"/>
      <c r="K440" s="7"/>
    </row>
    <row r="441" ht="15.75" customHeight="1">
      <c r="A441" s="4" t="s">
        <v>694</v>
      </c>
      <c r="B441" s="5">
        <v>200508.0</v>
      </c>
      <c r="C441" s="4" t="s">
        <v>11</v>
      </c>
      <c r="D441" s="6" t="s">
        <v>11</v>
      </c>
      <c r="E441" s="5">
        <v>1.0</v>
      </c>
      <c r="F441" s="4" t="s">
        <v>569</v>
      </c>
      <c r="G441" s="4" t="s">
        <v>57</v>
      </c>
      <c r="H441" s="4" t="s">
        <v>695</v>
      </c>
      <c r="I441" s="7"/>
      <c r="J441" s="7"/>
      <c r="K441" s="7"/>
    </row>
    <row r="442" ht="15.75" customHeight="1">
      <c r="A442" s="4" t="s">
        <v>190</v>
      </c>
      <c r="B442" s="5">
        <v>201900.0</v>
      </c>
      <c r="C442" s="4" t="s">
        <v>11</v>
      </c>
      <c r="D442" s="6" t="s">
        <v>11</v>
      </c>
      <c r="E442" s="5">
        <v>6.0</v>
      </c>
      <c r="F442" s="4" t="s">
        <v>157</v>
      </c>
      <c r="G442" s="4" t="s">
        <v>57</v>
      </c>
      <c r="H442" s="4" t="s">
        <v>191</v>
      </c>
      <c r="I442" s="7"/>
      <c r="J442" s="7"/>
      <c r="K442" s="7"/>
    </row>
    <row r="443" ht="15.75" customHeight="1">
      <c r="A443" s="4" t="s">
        <v>1282</v>
      </c>
      <c r="B443" s="5">
        <v>203880.0</v>
      </c>
      <c r="C443" s="4" t="s">
        <v>1283</v>
      </c>
      <c r="D443" s="6">
        <v>-0.5</v>
      </c>
      <c r="E443" s="5">
        <v>507.0</v>
      </c>
      <c r="F443" s="4" t="s">
        <v>101</v>
      </c>
      <c r="G443" s="4" t="s">
        <v>66</v>
      </c>
      <c r="H443" s="4" t="s">
        <v>1284</v>
      </c>
      <c r="I443" s="7"/>
      <c r="J443" s="7"/>
      <c r="K443" s="7"/>
    </row>
    <row r="444" ht="15.75" customHeight="1">
      <c r="A444" s="4" t="s">
        <v>535</v>
      </c>
      <c r="B444" s="5">
        <v>206000.0</v>
      </c>
      <c r="C444" s="4" t="s">
        <v>11</v>
      </c>
      <c r="D444" s="6" t="s">
        <v>11</v>
      </c>
      <c r="E444" s="5">
        <v>22.0</v>
      </c>
      <c r="F444" s="4" t="s">
        <v>569</v>
      </c>
      <c r="G444" s="4" t="s">
        <v>53</v>
      </c>
      <c r="H444" s="4" t="s">
        <v>696</v>
      </c>
      <c r="I444" s="7"/>
      <c r="J444" s="7"/>
      <c r="K444" s="7"/>
    </row>
    <row r="445" ht="15.75" customHeight="1">
      <c r="A445" s="4" t="s">
        <v>535</v>
      </c>
      <c r="B445" s="5">
        <v>207000.0</v>
      </c>
      <c r="C445" s="4" t="s">
        <v>11</v>
      </c>
      <c r="D445" s="6" t="s">
        <v>11</v>
      </c>
      <c r="E445" s="5">
        <v>16.0</v>
      </c>
      <c r="F445" s="4" t="s">
        <v>476</v>
      </c>
      <c r="G445" s="4" t="s">
        <v>53</v>
      </c>
      <c r="H445" s="4" t="s">
        <v>536</v>
      </c>
      <c r="I445" s="7"/>
      <c r="J445" s="7"/>
      <c r="K445" s="7"/>
    </row>
    <row r="446" ht="15.75" customHeight="1">
      <c r="A446" s="4" t="s">
        <v>537</v>
      </c>
      <c r="B446" s="5">
        <v>209888.0</v>
      </c>
      <c r="C446" s="4" t="s">
        <v>11</v>
      </c>
      <c r="D446" s="6" t="s">
        <v>11</v>
      </c>
      <c r="E446" s="5">
        <v>55.0</v>
      </c>
      <c r="F446" s="4" t="s">
        <v>476</v>
      </c>
      <c r="G446" s="4" t="s">
        <v>27</v>
      </c>
      <c r="H446" s="4" t="s">
        <v>538</v>
      </c>
      <c r="I446" s="7"/>
      <c r="J446" s="7"/>
      <c r="K446" s="7"/>
    </row>
    <row r="447" ht="15.75" customHeight="1">
      <c r="A447" s="4" t="s">
        <v>870</v>
      </c>
      <c r="B447" s="5">
        <v>210000.0</v>
      </c>
      <c r="C447" s="4" t="s">
        <v>871</v>
      </c>
      <c r="D447" s="6">
        <v>-0.06</v>
      </c>
      <c r="E447" s="5">
        <v>17.0</v>
      </c>
      <c r="F447" s="4" t="s">
        <v>157</v>
      </c>
      <c r="G447" s="4" t="s">
        <v>41</v>
      </c>
      <c r="H447" s="4" t="s">
        <v>872</v>
      </c>
      <c r="I447" s="7"/>
      <c r="J447" s="7"/>
      <c r="K447" s="7"/>
    </row>
    <row r="448" ht="15.75" customHeight="1">
      <c r="A448" s="4" t="s">
        <v>828</v>
      </c>
      <c r="B448" s="5">
        <v>210050.0</v>
      </c>
      <c r="C448" s="4" t="s">
        <v>829</v>
      </c>
      <c r="D448" s="6">
        <v>-0.01</v>
      </c>
      <c r="E448" s="5">
        <v>4.0</v>
      </c>
      <c r="F448" s="4" t="s">
        <v>569</v>
      </c>
      <c r="G448" s="4" t="s">
        <v>49</v>
      </c>
      <c r="H448" s="4" t="s">
        <v>830</v>
      </c>
      <c r="I448" s="7"/>
      <c r="J448" s="7"/>
      <c r="K448" s="7"/>
    </row>
    <row r="449" ht="15.75" customHeight="1">
      <c r="A449" s="4" t="s">
        <v>539</v>
      </c>
      <c r="B449" s="5">
        <v>210900.0</v>
      </c>
      <c r="C449" s="4" t="s">
        <v>11</v>
      </c>
      <c r="D449" s="6" t="s">
        <v>11</v>
      </c>
      <c r="E449" s="5">
        <v>24.0</v>
      </c>
      <c r="F449" s="4" t="s">
        <v>476</v>
      </c>
      <c r="G449" s="4" t="s">
        <v>27</v>
      </c>
      <c r="H449" s="4" t="s">
        <v>540</v>
      </c>
      <c r="I449" s="7"/>
      <c r="J449" s="7"/>
      <c r="K449" s="7"/>
    </row>
    <row r="450" ht="15.75" customHeight="1">
      <c r="A450" s="4" t="s">
        <v>541</v>
      </c>
      <c r="B450" s="5">
        <v>211050.0</v>
      </c>
      <c r="C450" s="4" t="s">
        <v>11</v>
      </c>
      <c r="D450" s="6" t="s">
        <v>11</v>
      </c>
      <c r="E450" s="5">
        <v>188.0</v>
      </c>
      <c r="F450" s="4" t="s">
        <v>476</v>
      </c>
      <c r="G450" s="4" t="s">
        <v>37</v>
      </c>
      <c r="H450" s="4" t="s">
        <v>542</v>
      </c>
      <c r="I450" s="7"/>
      <c r="J450" s="7"/>
      <c r="K450" s="7"/>
    </row>
    <row r="451" ht="15.75" customHeight="1">
      <c r="A451" s="4" t="s">
        <v>697</v>
      </c>
      <c r="B451" s="5">
        <v>215000.0</v>
      </c>
      <c r="C451" s="4" t="s">
        <v>11</v>
      </c>
      <c r="D451" s="6" t="s">
        <v>11</v>
      </c>
      <c r="E451" s="5">
        <v>3.0</v>
      </c>
      <c r="F451" s="4" t="s">
        <v>569</v>
      </c>
      <c r="G451" s="4" t="s">
        <v>41</v>
      </c>
      <c r="H451" s="4" t="s">
        <v>698</v>
      </c>
      <c r="I451" s="7"/>
      <c r="J451" s="7"/>
      <c r="K451" s="7"/>
    </row>
    <row r="452" ht="15.75" customHeight="1">
      <c r="A452" s="4" t="s">
        <v>867</v>
      </c>
      <c r="B452" s="5">
        <v>215000.0</v>
      </c>
      <c r="C452" s="4" t="s">
        <v>868</v>
      </c>
      <c r="D452" s="6">
        <v>-0.05</v>
      </c>
      <c r="E452" s="5">
        <v>79.0</v>
      </c>
      <c r="F452" s="4" t="s">
        <v>569</v>
      </c>
      <c r="G452" s="4" t="s">
        <v>41</v>
      </c>
      <c r="H452" s="4" t="s">
        <v>869</v>
      </c>
      <c r="I452" s="7"/>
      <c r="J452" s="7"/>
      <c r="K452" s="7"/>
    </row>
    <row r="453" ht="15.75" customHeight="1">
      <c r="A453" s="4" t="s">
        <v>1075</v>
      </c>
      <c r="B453" s="5">
        <v>215000.0</v>
      </c>
      <c r="C453" s="4" t="s">
        <v>1076</v>
      </c>
      <c r="D453" s="6">
        <v>-0.37</v>
      </c>
      <c r="E453" s="5">
        <v>3000.0</v>
      </c>
      <c r="F453" s="4" t="s">
        <v>79</v>
      </c>
      <c r="G453" s="4" t="s">
        <v>41</v>
      </c>
      <c r="H453" s="4" t="s">
        <v>1077</v>
      </c>
      <c r="I453" s="7"/>
      <c r="J453" s="7"/>
      <c r="K453" s="7"/>
    </row>
    <row r="454" ht="15.75" customHeight="1">
      <c r="A454" s="4" t="s">
        <v>1299</v>
      </c>
      <c r="B454" s="5">
        <v>218000.0</v>
      </c>
      <c r="C454" s="4" t="s">
        <v>1300</v>
      </c>
      <c r="D454" s="6">
        <v>-0.5</v>
      </c>
      <c r="E454" s="5">
        <v>720.0</v>
      </c>
      <c r="F454" s="4" t="s">
        <v>198</v>
      </c>
      <c r="G454" s="4" t="s">
        <v>66</v>
      </c>
      <c r="H454" s="4" t="s">
        <v>1301</v>
      </c>
      <c r="I454" s="7"/>
      <c r="J454" s="7"/>
      <c r="K454" s="7"/>
    </row>
    <row r="455" ht="15.75" customHeight="1">
      <c r="A455" s="4" t="s">
        <v>1306</v>
      </c>
      <c r="B455" s="5">
        <v>219000.0</v>
      </c>
      <c r="C455" s="4" t="s">
        <v>1300</v>
      </c>
      <c r="D455" s="6">
        <v>-0.5</v>
      </c>
      <c r="E455" s="5">
        <v>366.0</v>
      </c>
      <c r="F455" s="4" t="s">
        <v>324</v>
      </c>
      <c r="G455" s="4" t="s">
        <v>66</v>
      </c>
      <c r="H455" s="4" t="s">
        <v>1307</v>
      </c>
      <c r="I455" s="7"/>
      <c r="J455" s="7"/>
      <c r="K455" s="7"/>
    </row>
    <row r="456" ht="15.75" customHeight="1">
      <c r="A456" s="4" t="s">
        <v>1306</v>
      </c>
      <c r="B456" s="5">
        <v>219000.0</v>
      </c>
      <c r="C456" s="4" t="s">
        <v>1300</v>
      </c>
      <c r="D456" s="6">
        <v>-0.5</v>
      </c>
      <c r="E456" s="5">
        <v>366.0</v>
      </c>
      <c r="F456" s="4" t="s">
        <v>324</v>
      </c>
      <c r="G456" s="4" t="s">
        <v>66</v>
      </c>
      <c r="H456" s="4" t="s">
        <v>1308</v>
      </c>
      <c r="I456" s="7"/>
      <c r="J456" s="7"/>
      <c r="K456" s="7"/>
    </row>
    <row r="457" ht="15.75" customHeight="1">
      <c r="A457" s="4" t="s">
        <v>317</v>
      </c>
      <c r="B457" s="5">
        <v>219087.0</v>
      </c>
      <c r="C457" s="4" t="s">
        <v>11</v>
      </c>
      <c r="D457" s="6" t="s">
        <v>11</v>
      </c>
      <c r="E457" s="6" t="s">
        <v>11</v>
      </c>
      <c r="F457" s="4" t="s">
        <v>303</v>
      </c>
      <c r="G457" s="4" t="s">
        <v>16</v>
      </c>
      <c r="H457" s="4" t="s">
        <v>318</v>
      </c>
      <c r="I457" s="7"/>
      <c r="J457" s="7"/>
      <c r="K457" s="7"/>
    </row>
    <row r="458" ht="15.75" customHeight="1">
      <c r="A458" s="4" t="s">
        <v>402</v>
      </c>
      <c r="B458" s="5">
        <v>220000.0</v>
      </c>
      <c r="C458" s="4" t="s">
        <v>11</v>
      </c>
      <c r="D458" s="6" t="s">
        <v>11</v>
      </c>
      <c r="E458" s="5">
        <v>79.0</v>
      </c>
      <c r="F458" s="4" t="s">
        <v>324</v>
      </c>
      <c r="G458" s="4" t="s">
        <v>12</v>
      </c>
      <c r="H458" s="4" t="s">
        <v>403</v>
      </c>
      <c r="I458" s="7"/>
      <c r="J458" s="7"/>
      <c r="K458" s="7"/>
    </row>
    <row r="459" ht="15.75" customHeight="1">
      <c r="A459" s="4" t="s">
        <v>930</v>
      </c>
      <c r="B459" s="5">
        <v>221000.0</v>
      </c>
      <c r="C459" s="4" t="s">
        <v>931</v>
      </c>
      <c r="D459" s="6">
        <v>-0.15</v>
      </c>
      <c r="E459" s="5">
        <v>16.0</v>
      </c>
      <c r="F459" s="4" t="s">
        <v>324</v>
      </c>
      <c r="G459" s="4" t="s">
        <v>147</v>
      </c>
      <c r="H459" s="4" t="s">
        <v>932</v>
      </c>
      <c r="I459" s="7"/>
      <c r="J459" s="7"/>
      <c r="K459" s="7"/>
    </row>
    <row r="460" ht="15.75" customHeight="1">
      <c r="A460" s="4" t="s">
        <v>457</v>
      </c>
      <c r="B460" s="5">
        <v>224700.0</v>
      </c>
      <c r="C460" s="4" t="s">
        <v>11</v>
      </c>
      <c r="D460" s="6" t="s">
        <v>11</v>
      </c>
      <c r="E460" s="6" t="s">
        <v>11</v>
      </c>
      <c r="F460" s="4" t="s">
        <v>439</v>
      </c>
      <c r="G460" s="4" t="s">
        <v>81</v>
      </c>
      <c r="H460" s="4" t="s">
        <v>458</v>
      </c>
      <c r="I460" s="7"/>
      <c r="J460" s="7"/>
      <c r="K460" s="7"/>
    </row>
    <row r="461" ht="15.75" customHeight="1">
      <c r="A461" s="4" t="s">
        <v>1170</v>
      </c>
      <c r="B461" s="5">
        <v>225000.0</v>
      </c>
      <c r="C461" s="4" t="s">
        <v>1171</v>
      </c>
      <c r="D461" s="6">
        <v>-0.43</v>
      </c>
      <c r="E461" s="5">
        <v>559.0</v>
      </c>
      <c r="F461" s="4" t="s">
        <v>157</v>
      </c>
      <c r="G461" s="4" t="s">
        <v>66</v>
      </c>
      <c r="H461" s="4" t="s">
        <v>1172</v>
      </c>
      <c r="I461" s="7"/>
      <c r="J461" s="7"/>
      <c r="K461" s="7"/>
    </row>
    <row r="462" ht="15.75" customHeight="1">
      <c r="A462" s="4" t="s">
        <v>699</v>
      </c>
      <c r="B462" s="5">
        <v>225500.0</v>
      </c>
      <c r="C462" s="4" t="s">
        <v>11</v>
      </c>
      <c r="D462" s="6" t="s">
        <v>11</v>
      </c>
      <c r="E462" s="5">
        <v>4.0</v>
      </c>
      <c r="F462" s="4" t="s">
        <v>569</v>
      </c>
      <c r="G462" s="4" t="s">
        <v>134</v>
      </c>
      <c r="H462" s="4" t="s">
        <v>700</v>
      </c>
      <c r="I462" s="7"/>
      <c r="J462" s="7"/>
      <c r="K462" s="7"/>
    </row>
    <row r="463" ht="15.75" customHeight="1">
      <c r="A463" s="4" t="s">
        <v>936</v>
      </c>
      <c r="B463" s="5">
        <v>226000.0</v>
      </c>
      <c r="C463" s="4" t="s">
        <v>931</v>
      </c>
      <c r="D463" s="6">
        <v>-0.17</v>
      </c>
      <c r="E463" s="5">
        <v>10.0</v>
      </c>
      <c r="F463" s="4" t="s">
        <v>114</v>
      </c>
      <c r="G463" s="4" t="s">
        <v>37</v>
      </c>
      <c r="H463" s="4" t="s">
        <v>937</v>
      </c>
      <c r="I463" s="7"/>
      <c r="J463" s="7"/>
      <c r="K463" s="7"/>
    </row>
    <row r="464" ht="15.75" customHeight="1">
      <c r="A464" s="4" t="s">
        <v>319</v>
      </c>
      <c r="B464" s="5">
        <v>227000.0</v>
      </c>
      <c r="C464" s="4" t="s">
        <v>11</v>
      </c>
      <c r="D464" s="6" t="s">
        <v>11</v>
      </c>
      <c r="E464" s="6" t="s">
        <v>11</v>
      </c>
      <c r="F464" s="4" t="s">
        <v>303</v>
      </c>
      <c r="G464" s="4" t="s">
        <v>66</v>
      </c>
      <c r="H464" s="4" t="s">
        <v>320</v>
      </c>
      <c r="I464" s="7"/>
      <c r="J464" s="7"/>
      <c r="K464" s="7"/>
    </row>
    <row r="465" ht="15.75" customHeight="1">
      <c r="A465" s="4" t="s">
        <v>543</v>
      </c>
      <c r="B465" s="5">
        <v>229000.0</v>
      </c>
      <c r="C465" s="4" t="s">
        <v>11</v>
      </c>
      <c r="D465" s="6" t="s">
        <v>11</v>
      </c>
      <c r="E465" s="5">
        <v>11.0</v>
      </c>
      <c r="F465" s="4" t="s">
        <v>476</v>
      </c>
      <c r="G465" s="4" t="s">
        <v>144</v>
      </c>
      <c r="H465" s="4" t="s">
        <v>544</v>
      </c>
      <c r="I465" s="7"/>
      <c r="J465" s="7"/>
      <c r="K465" s="7"/>
    </row>
    <row r="466" ht="15.75" customHeight="1">
      <c r="A466" s="4" t="s">
        <v>404</v>
      </c>
      <c r="B466" s="5">
        <v>229999.0</v>
      </c>
      <c r="C466" s="4" t="s">
        <v>11</v>
      </c>
      <c r="D466" s="6" t="s">
        <v>11</v>
      </c>
      <c r="E466" s="5">
        <v>6.0</v>
      </c>
      <c r="F466" s="4" t="s">
        <v>324</v>
      </c>
      <c r="G466" s="4" t="s">
        <v>21</v>
      </c>
      <c r="H466" s="4" t="s">
        <v>405</v>
      </c>
      <c r="I466" s="7"/>
      <c r="J466" s="7"/>
      <c r="K466" s="7"/>
    </row>
    <row r="467" ht="15.75" customHeight="1">
      <c r="A467" s="4" t="s">
        <v>545</v>
      </c>
      <c r="B467" s="5">
        <v>230720.0</v>
      </c>
      <c r="C467" s="4" t="s">
        <v>11</v>
      </c>
      <c r="D467" s="6" t="s">
        <v>11</v>
      </c>
      <c r="E467" s="5">
        <v>54.0</v>
      </c>
      <c r="F467" s="4" t="s">
        <v>476</v>
      </c>
      <c r="G467" s="4" t="s">
        <v>147</v>
      </c>
      <c r="H467" s="4" t="s">
        <v>546</v>
      </c>
      <c r="I467" s="7"/>
      <c r="J467" s="7"/>
      <c r="K467" s="7"/>
    </row>
    <row r="468" ht="15.75" customHeight="1">
      <c r="A468" s="4" t="s">
        <v>1215</v>
      </c>
      <c r="B468" s="5">
        <v>232200.0</v>
      </c>
      <c r="C468" s="4" t="s">
        <v>1216</v>
      </c>
      <c r="D468" s="6">
        <v>-0.45</v>
      </c>
      <c r="E468" s="5">
        <v>214.0</v>
      </c>
      <c r="F468" s="4" t="s">
        <v>324</v>
      </c>
      <c r="G468" s="4" t="s">
        <v>66</v>
      </c>
      <c r="H468" s="4" t="s">
        <v>1217</v>
      </c>
      <c r="I468" s="7"/>
      <c r="J468" s="7"/>
      <c r="K468" s="7"/>
    </row>
    <row r="469" ht="15.75" customHeight="1">
      <c r="A469" s="4" t="s">
        <v>459</v>
      </c>
      <c r="B469" s="5">
        <v>233500.0</v>
      </c>
      <c r="C469" s="4" t="s">
        <v>11</v>
      </c>
      <c r="D469" s="6" t="s">
        <v>11</v>
      </c>
      <c r="E469" s="6" t="s">
        <v>11</v>
      </c>
      <c r="F469" s="4" t="s">
        <v>439</v>
      </c>
      <c r="G469" s="4" t="s">
        <v>66</v>
      </c>
      <c r="H469" s="4" t="s">
        <v>460</v>
      </c>
      <c r="I469" s="7"/>
      <c r="J469" s="7"/>
      <c r="K469" s="7"/>
    </row>
    <row r="470" ht="15.75" customHeight="1">
      <c r="A470" s="4" t="s">
        <v>461</v>
      </c>
      <c r="B470" s="5">
        <v>234650.0</v>
      </c>
      <c r="C470" s="4" t="s">
        <v>11</v>
      </c>
      <c r="D470" s="6" t="s">
        <v>11</v>
      </c>
      <c r="E470" s="6" t="s">
        <v>11</v>
      </c>
      <c r="F470" s="4" t="s">
        <v>439</v>
      </c>
      <c r="G470" s="4" t="s">
        <v>41</v>
      </c>
      <c r="H470" s="4" t="s">
        <v>462</v>
      </c>
      <c r="I470" s="7"/>
      <c r="J470" s="7"/>
      <c r="K470" s="7"/>
    </row>
    <row r="471" ht="15.75" customHeight="1">
      <c r="A471" s="4" t="s">
        <v>406</v>
      </c>
      <c r="B471" s="5">
        <v>235000.0</v>
      </c>
      <c r="C471" s="4" t="s">
        <v>11</v>
      </c>
      <c r="D471" s="6" t="s">
        <v>11</v>
      </c>
      <c r="E471" s="5">
        <v>428.0</v>
      </c>
      <c r="F471" s="4" t="s">
        <v>324</v>
      </c>
      <c r="G471" s="4" t="s">
        <v>41</v>
      </c>
      <c r="H471" s="4" t="s">
        <v>407</v>
      </c>
      <c r="I471" s="7"/>
      <c r="J471" s="7"/>
      <c r="K471" s="7"/>
    </row>
    <row r="472" ht="15.75" customHeight="1">
      <c r="A472" s="4" t="s">
        <v>876</v>
      </c>
      <c r="B472" s="5">
        <v>235000.0</v>
      </c>
      <c r="C472" s="4" t="s">
        <v>877</v>
      </c>
      <c r="D472" s="6">
        <v>-0.06</v>
      </c>
      <c r="E472" s="5">
        <v>103.0</v>
      </c>
      <c r="F472" s="4" t="s">
        <v>324</v>
      </c>
      <c r="G472" s="4" t="s">
        <v>159</v>
      </c>
      <c r="H472" s="4" t="s">
        <v>878</v>
      </c>
      <c r="I472" s="7"/>
      <c r="J472" s="7"/>
      <c r="K472" s="7"/>
    </row>
    <row r="473" ht="15.75" customHeight="1">
      <c r="A473" s="4" t="s">
        <v>408</v>
      </c>
      <c r="B473" s="5">
        <v>235200.0</v>
      </c>
      <c r="C473" s="4" t="s">
        <v>11</v>
      </c>
      <c r="D473" s="6" t="s">
        <v>11</v>
      </c>
      <c r="E473" s="5">
        <v>59.0</v>
      </c>
      <c r="F473" s="4" t="s">
        <v>324</v>
      </c>
      <c r="G473" s="4" t="s">
        <v>21</v>
      </c>
      <c r="H473" s="4" t="s">
        <v>409</v>
      </c>
      <c r="I473" s="7"/>
      <c r="J473" s="7"/>
      <c r="K473" s="7"/>
    </row>
    <row r="474" ht="15.75" customHeight="1">
      <c r="A474" s="4" t="s">
        <v>547</v>
      </c>
      <c r="B474" s="5">
        <v>236400.0</v>
      </c>
      <c r="C474" s="4" t="s">
        <v>11</v>
      </c>
      <c r="D474" s="6" t="s">
        <v>11</v>
      </c>
      <c r="E474" s="5">
        <v>48.0</v>
      </c>
      <c r="F474" s="4" t="s">
        <v>476</v>
      </c>
      <c r="G474" s="4" t="s">
        <v>14</v>
      </c>
      <c r="H474" s="4" t="s">
        <v>548</v>
      </c>
      <c r="I474" s="7"/>
      <c r="J474" s="7"/>
      <c r="K474" s="7"/>
    </row>
    <row r="475" ht="15.75" customHeight="1">
      <c r="A475" s="4" t="s">
        <v>701</v>
      </c>
      <c r="B475" s="5">
        <v>237639.0</v>
      </c>
      <c r="C475" s="4" t="s">
        <v>11</v>
      </c>
      <c r="D475" s="6" t="s">
        <v>11</v>
      </c>
      <c r="E475" s="5">
        <v>20.0</v>
      </c>
      <c r="F475" s="4" t="s">
        <v>569</v>
      </c>
      <c r="G475" s="4" t="s">
        <v>41</v>
      </c>
      <c r="H475" s="4" t="s">
        <v>702</v>
      </c>
      <c r="I475" s="7"/>
      <c r="J475" s="7"/>
      <c r="K475" s="7"/>
    </row>
    <row r="476" ht="15.75" customHeight="1">
      <c r="A476" s="4" t="s">
        <v>703</v>
      </c>
      <c r="B476" s="5">
        <v>237800.0</v>
      </c>
      <c r="C476" s="4" t="s">
        <v>11</v>
      </c>
      <c r="D476" s="6" t="s">
        <v>11</v>
      </c>
      <c r="E476" s="5">
        <v>3.0</v>
      </c>
      <c r="F476" s="4" t="s">
        <v>569</v>
      </c>
      <c r="G476" s="4" t="s">
        <v>83</v>
      </c>
      <c r="H476" s="4" t="s">
        <v>704</v>
      </c>
      <c r="I476" s="7"/>
      <c r="J476" s="7"/>
      <c r="K476" s="7"/>
    </row>
    <row r="477" ht="15.75" customHeight="1">
      <c r="A477" s="4" t="s">
        <v>831</v>
      </c>
      <c r="B477" s="5">
        <v>240000.0</v>
      </c>
      <c r="C477" s="4" t="s">
        <v>832</v>
      </c>
      <c r="D477" s="6">
        <v>-0.01</v>
      </c>
      <c r="E477" s="5">
        <v>4.0</v>
      </c>
      <c r="F477" s="4" t="s">
        <v>569</v>
      </c>
      <c r="G477" s="4" t="s">
        <v>41</v>
      </c>
      <c r="H477" s="4" t="s">
        <v>833</v>
      </c>
      <c r="I477" s="7"/>
      <c r="J477" s="7"/>
      <c r="K477" s="7"/>
    </row>
    <row r="478" ht="15.75" customHeight="1">
      <c r="A478" s="4" t="s">
        <v>1195</v>
      </c>
      <c r="B478" s="5">
        <v>242000.0</v>
      </c>
      <c r="C478" s="4" t="s">
        <v>1196</v>
      </c>
      <c r="D478" s="6">
        <v>-0.44</v>
      </c>
      <c r="E478" s="5">
        <v>385.0</v>
      </c>
      <c r="F478" s="4" t="s">
        <v>157</v>
      </c>
      <c r="G478" s="4" t="s">
        <v>66</v>
      </c>
      <c r="H478" s="4" t="s">
        <v>1197</v>
      </c>
      <c r="I478" s="7"/>
      <c r="J478" s="7"/>
      <c r="K478" s="7"/>
    </row>
    <row r="479" ht="15.75" customHeight="1">
      <c r="A479" s="4" t="s">
        <v>705</v>
      </c>
      <c r="B479" s="5">
        <v>243050.0</v>
      </c>
      <c r="C479" s="4" t="s">
        <v>11</v>
      </c>
      <c r="D479" s="6" t="s">
        <v>11</v>
      </c>
      <c r="E479" s="5">
        <v>1.0</v>
      </c>
      <c r="F479" s="4" t="s">
        <v>569</v>
      </c>
      <c r="G479" s="4" t="s">
        <v>61</v>
      </c>
      <c r="H479" s="4" t="s">
        <v>706</v>
      </c>
      <c r="I479" s="7"/>
      <c r="J479" s="7"/>
      <c r="K479" s="7"/>
    </row>
    <row r="480" ht="15.75" customHeight="1">
      <c r="A480" s="4" t="s">
        <v>707</v>
      </c>
      <c r="B480" s="5">
        <v>243100.0</v>
      </c>
      <c r="C480" s="4" t="s">
        <v>11</v>
      </c>
      <c r="D480" s="6" t="s">
        <v>11</v>
      </c>
      <c r="E480" s="5">
        <v>1.0</v>
      </c>
      <c r="F480" s="4" t="s">
        <v>569</v>
      </c>
      <c r="G480" s="4" t="s">
        <v>12</v>
      </c>
      <c r="H480" s="4" t="s">
        <v>708</v>
      </c>
      <c r="I480" s="7"/>
      <c r="J480" s="7"/>
      <c r="K480" s="7"/>
    </row>
    <row r="481" ht="15.75" customHeight="1">
      <c r="A481" s="4" t="s">
        <v>1258</v>
      </c>
      <c r="B481" s="5">
        <v>244200.0</v>
      </c>
      <c r="C481" s="4" t="s">
        <v>1259</v>
      </c>
      <c r="D481" s="6">
        <v>-0.48</v>
      </c>
      <c r="E481" s="5">
        <v>19.0</v>
      </c>
      <c r="F481" s="4" t="s">
        <v>157</v>
      </c>
      <c r="G481" s="4" t="s">
        <v>66</v>
      </c>
      <c r="H481" s="4" t="s">
        <v>1260</v>
      </c>
      <c r="I481" s="7"/>
      <c r="J481" s="7"/>
      <c r="K481" s="7"/>
    </row>
    <row r="482" ht="15.75" customHeight="1">
      <c r="A482" s="4" t="s">
        <v>549</v>
      </c>
      <c r="B482" s="5">
        <v>244393.0</v>
      </c>
      <c r="C482" s="4" t="s">
        <v>11</v>
      </c>
      <c r="D482" s="6" t="s">
        <v>11</v>
      </c>
      <c r="E482" s="5">
        <v>394.0</v>
      </c>
      <c r="F482" s="4" t="s">
        <v>476</v>
      </c>
      <c r="G482" s="4" t="s">
        <v>41</v>
      </c>
      <c r="H482" s="4" t="s">
        <v>550</v>
      </c>
      <c r="I482" s="7"/>
      <c r="J482" s="7"/>
      <c r="K482" s="7"/>
    </row>
    <row r="483" ht="15.75" customHeight="1">
      <c r="A483" s="4" t="s">
        <v>1224</v>
      </c>
      <c r="B483" s="5">
        <v>244754.0</v>
      </c>
      <c r="C483" s="4" t="s">
        <v>1225</v>
      </c>
      <c r="D483" s="6">
        <v>-0.46</v>
      </c>
      <c r="E483" s="5">
        <v>109.0</v>
      </c>
      <c r="F483" s="4" t="s">
        <v>198</v>
      </c>
      <c r="G483" s="4" t="s">
        <v>66</v>
      </c>
      <c r="H483" s="4" t="s">
        <v>1226</v>
      </c>
      <c r="I483" s="7"/>
      <c r="J483" s="7"/>
      <c r="K483" s="7"/>
    </row>
    <row r="484" ht="15.75" customHeight="1">
      <c r="A484" s="4" t="s">
        <v>1370</v>
      </c>
      <c r="B484" s="5">
        <v>245000.0</v>
      </c>
      <c r="C484" s="4" t="s">
        <v>1371</v>
      </c>
      <c r="D484" s="6">
        <v>-0.55</v>
      </c>
      <c r="E484" s="5">
        <v>61.0</v>
      </c>
      <c r="F484" s="4" t="s">
        <v>324</v>
      </c>
      <c r="G484" s="4" t="s">
        <v>41</v>
      </c>
      <c r="H484" s="4" t="s">
        <v>1372</v>
      </c>
      <c r="I484" s="7"/>
      <c r="J484" s="7"/>
      <c r="K484" s="7"/>
    </row>
    <row r="485" ht="15.75" customHeight="1">
      <c r="A485" s="4" t="s">
        <v>1184</v>
      </c>
      <c r="B485" s="5">
        <v>248000.0</v>
      </c>
      <c r="C485" s="4" t="s">
        <v>1185</v>
      </c>
      <c r="D485" s="6">
        <v>-0.43</v>
      </c>
      <c r="E485" s="5">
        <v>471.0</v>
      </c>
      <c r="F485" s="4" t="s">
        <v>1182</v>
      </c>
      <c r="G485" s="4" t="s">
        <v>66</v>
      </c>
      <c r="H485" s="4" t="s">
        <v>1186</v>
      </c>
      <c r="I485" s="7"/>
      <c r="J485" s="7"/>
      <c r="K485" s="7"/>
    </row>
    <row r="486" ht="15.75" customHeight="1">
      <c r="A486" s="4" t="s">
        <v>709</v>
      </c>
      <c r="B486" s="5">
        <v>250000.0</v>
      </c>
      <c r="C486" s="4" t="s">
        <v>11</v>
      </c>
      <c r="D486" s="6" t="s">
        <v>11</v>
      </c>
      <c r="E486" s="5">
        <v>15.0</v>
      </c>
      <c r="F486" s="4" t="s">
        <v>569</v>
      </c>
      <c r="G486" s="4" t="s">
        <v>18</v>
      </c>
      <c r="H486" s="4" t="s">
        <v>710</v>
      </c>
      <c r="I486" s="7"/>
      <c r="J486" s="7"/>
      <c r="K486" s="7"/>
    </row>
    <row r="487" ht="15.75" customHeight="1">
      <c r="A487" s="4" t="s">
        <v>982</v>
      </c>
      <c r="B487" s="5">
        <v>250000.0</v>
      </c>
      <c r="C487" s="4" t="s">
        <v>983</v>
      </c>
      <c r="D487" s="6">
        <v>-0.24</v>
      </c>
      <c r="E487" s="5">
        <v>8.0</v>
      </c>
      <c r="F487" s="4" t="s">
        <v>198</v>
      </c>
      <c r="G487" s="4" t="s">
        <v>37</v>
      </c>
      <c r="H487" s="4" t="s">
        <v>984</v>
      </c>
      <c r="I487" s="7"/>
      <c r="J487" s="7"/>
      <c r="K487" s="7"/>
    </row>
    <row r="488" ht="15.75" customHeight="1">
      <c r="A488" s="4" t="s">
        <v>991</v>
      </c>
      <c r="B488" s="5">
        <v>250000.0</v>
      </c>
      <c r="C488" s="4" t="s">
        <v>931</v>
      </c>
      <c r="D488" s="6">
        <v>-0.24</v>
      </c>
      <c r="E488" s="5">
        <v>214.0</v>
      </c>
      <c r="F488" s="4" t="s">
        <v>476</v>
      </c>
      <c r="G488" s="4" t="s">
        <v>66</v>
      </c>
      <c r="H488" s="4" t="s">
        <v>992</v>
      </c>
      <c r="I488" s="7"/>
      <c r="J488" s="7"/>
      <c r="K488" s="7"/>
    </row>
    <row r="489" ht="15.75" customHeight="1">
      <c r="A489" s="4" t="s">
        <v>1373</v>
      </c>
      <c r="B489" s="5">
        <v>250000.0</v>
      </c>
      <c r="C489" s="4" t="s">
        <v>1374</v>
      </c>
      <c r="D489" s="6">
        <v>-0.56</v>
      </c>
      <c r="E489" s="5">
        <v>110.0</v>
      </c>
      <c r="F489" s="4" t="s">
        <v>198</v>
      </c>
      <c r="G489" s="4" t="s">
        <v>66</v>
      </c>
      <c r="H489" s="4" t="s">
        <v>1375</v>
      </c>
      <c r="I489" s="7"/>
      <c r="J489" s="7"/>
      <c r="K489" s="7"/>
    </row>
    <row r="490" ht="15.75" customHeight="1">
      <c r="A490" s="4" t="s">
        <v>711</v>
      </c>
      <c r="B490" s="5">
        <v>250800.0</v>
      </c>
      <c r="C490" s="4" t="s">
        <v>11</v>
      </c>
      <c r="D490" s="6" t="s">
        <v>11</v>
      </c>
      <c r="E490" s="5">
        <v>2.0</v>
      </c>
      <c r="F490" s="4" t="s">
        <v>569</v>
      </c>
      <c r="G490" s="4" t="s">
        <v>35</v>
      </c>
      <c r="H490" s="4" t="s">
        <v>712</v>
      </c>
      <c r="I490" s="7"/>
      <c r="J490" s="7"/>
      <c r="K490" s="7"/>
    </row>
    <row r="491" ht="15.75" customHeight="1">
      <c r="A491" s="4" t="s">
        <v>713</v>
      </c>
      <c r="B491" s="5">
        <v>252000.0</v>
      </c>
      <c r="C491" s="4" t="s">
        <v>11</v>
      </c>
      <c r="D491" s="6" t="s">
        <v>11</v>
      </c>
      <c r="E491" s="5">
        <v>4.0</v>
      </c>
      <c r="F491" s="4" t="s">
        <v>569</v>
      </c>
      <c r="G491" s="4" t="s">
        <v>66</v>
      </c>
      <c r="H491" s="4" t="s">
        <v>714</v>
      </c>
      <c r="I491" s="7"/>
      <c r="J491" s="7"/>
      <c r="K491" s="7"/>
    </row>
    <row r="492" ht="15.75" customHeight="1">
      <c r="A492" s="4" t="s">
        <v>410</v>
      </c>
      <c r="B492" s="5">
        <v>255000.0</v>
      </c>
      <c r="C492" s="4" t="s">
        <v>11</v>
      </c>
      <c r="D492" s="6" t="s">
        <v>11</v>
      </c>
      <c r="E492" s="5">
        <v>48.0</v>
      </c>
      <c r="F492" s="4" t="s">
        <v>324</v>
      </c>
      <c r="G492" s="4" t="s">
        <v>115</v>
      </c>
      <c r="H492" s="4" t="s">
        <v>411</v>
      </c>
      <c r="I492" s="7"/>
      <c r="J492" s="7"/>
      <c r="K492" s="7"/>
    </row>
    <row r="493" ht="15.75" customHeight="1">
      <c r="A493" s="4" t="s">
        <v>551</v>
      </c>
      <c r="B493" s="5">
        <v>257900.0</v>
      </c>
      <c r="C493" s="4" t="s">
        <v>11</v>
      </c>
      <c r="D493" s="6" t="s">
        <v>11</v>
      </c>
      <c r="E493" s="5">
        <v>38.0</v>
      </c>
      <c r="F493" s="4" t="s">
        <v>476</v>
      </c>
      <c r="G493" s="4" t="s">
        <v>71</v>
      </c>
      <c r="H493" s="4" t="s">
        <v>552</v>
      </c>
      <c r="I493" s="7"/>
      <c r="J493" s="7"/>
      <c r="K493" s="7"/>
    </row>
    <row r="494" ht="15.75" customHeight="1">
      <c r="A494" s="4" t="s">
        <v>974</v>
      </c>
      <c r="B494" s="5">
        <v>258000.0</v>
      </c>
      <c r="C494" s="4" t="s">
        <v>975</v>
      </c>
      <c r="D494" s="6">
        <v>-0.24</v>
      </c>
      <c r="E494" s="5">
        <v>6.0</v>
      </c>
      <c r="F494" s="4" t="s">
        <v>59</v>
      </c>
      <c r="G494" s="4" t="s">
        <v>41</v>
      </c>
      <c r="H494" s="4" t="s">
        <v>976</v>
      </c>
      <c r="I494" s="7"/>
      <c r="J494" s="7"/>
      <c r="K494" s="7"/>
    </row>
    <row r="495" ht="15.75" customHeight="1">
      <c r="A495" s="4" t="s">
        <v>286</v>
      </c>
      <c r="B495" s="5">
        <v>260000.0</v>
      </c>
      <c r="C495" s="4" t="s">
        <v>11</v>
      </c>
      <c r="D495" s="6" t="s">
        <v>11</v>
      </c>
      <c r="E495" s="5">
        <v>64.0</v>
      </c>
      <c r="F495" s="4" t="s">
        <v>198</v>
      </c>
      <c r="G495" s="4" t="s">
        <v>71</v>
      </c>
      <c r="H495" s="4" t="s">
        <v>287</v>
      </c>
      <c r="I495" s="7"/>
      <c r="J495" s="7"/>
      <c r="K495" s="7"/>
    </row>
    <row r="496" ht="15.75" customHeight="1">
      <c r="A496" s="4" t="s">
        <v>463</v>
      </c>
      <c r="B496" s="5">
        <v>260000.0</v>
      </c>
      <c r="C496" s="4" t="s">
        <v>11</v>
      </c>
      <c r="D496" s="6" t="s">
        <v>11</v>
      </c>
      <c r="E496" s="6" t="s">
        <v>11</v>
      </c>
      <c r="F496" s="4" t="s">
        <v>439</v>
      </c>
      <c r="G496" s="4" t="s">
        <v>25</v>
      </c>
      <c r="H496" s="4" t="s">
        <v>464</v>
      </c>
      <c r="I496" s="7"/>
      <c r="J496" s="7"/>
      <c r="K496" s="7"/>
    </row>
    <row r="497" ht="15.75" customHeight="1">
      <c r="A497" s="4" t="s">
        <v>715</v>
      </c>
      <c r="B497" s="5">
        <v>260000.0</v>
      </c>
      <c r="C497" s="4" t="s">
        <v>11</v>
      </c>
      <c r="D497" s="6" t="s">
        <v>11</v>
      </c>
      <c r="E497" s="5">
        <v>9.0</v>
      </c>
      <c r="F497" s="4" t="s">
        <v>569</v>
      </c>
      <c r="G497" s="4" t="s">
        <v>37</v>
      </c>
      <c r="H497" s="4" t="s">
        <v>716</v>
      </c>
      <c r="I497" s="7"/>
      <c r="J497" s="7"/>
      <c r="K497" s="7"/>
    </row>
    <row r="498" ht="15.75" customHeight="1">
      <c r="A498" s="4" t="s">
        <v>717</v>
      </c>
      <c r="B498" s="5">
        <v>267365.0</v>
      </c>
      <c r="C498" s="4" t="s">
        <v>11</v>
      </c>
      <c r="D498" s="6" t="s">
        <v>11</v>
      </c>
      <c r="E498" s="5">
        <v>5.0</v>
      </c>
      <c r="F498" s="4" t="s">
        <v>569</v>
      </c>
      <c r="G498" s="4" t="s">
        <v>106</v>
      </c>
      <c r="H498" s="4" t="s">
        <v>718</v>
      </c>
      <c r="I498" s="7"/>
      <c r="J498" s="7"/>
      <c r="K498" s="7"/>
    </row>
    <row r="499" ht="15.75" customHeight="1">
      <c r="A499" s="4" t="s">
        <v>465</v>
      </c>
      <c r="B499" s="5">
        <v>268470.0</v>
      </c>
      <c r="C499" s="4" t="s">
        <v>11</v>
      </c>
      <c r="D499" s="6" t="s">
        <v>11</v>
      </c>
      <c r="E499" s="6" t="s">
        <v>11</v>
      </c>
      <c r="F499" s="4" t="s">
        <v>439</v>
      </c>
      <c r="G499" s="4" t="s">
        <v>45</v>
      </c>
      <c r="H499" s="4" t="s">
        <v>466</v>
      </c>
      <c r="I499" s="7"/>
      <c r="J499" s="7"/>
      <c r="K499" s="7"/>
    </row>
    <row r="500" ht="15.75" customHeight="1">
      <c r="A500" s="4" t="s">
        <v>719</v>
      </c>
      <c r="B500" s="5">
        <v>270000.0</v>
      </c>
      <c r="C500" s="4" t="s">
        <v>11</v>
      </c>
      <c r="D500" s="6" t="s">
        <v>11</v>
      </c>
      <c r="E500" s="5">
        <v>4.0</v>
      </c>
      <c r="F500" s="4" t="s">
        <v>569</v>
      </c>
      <c r="G500" s="4" t="s">
        <v>16</v>
      </c>
      <c r="H500" s="4" t="s">
        <v>720</v>
      </c>
      <c r="I500" s="7"/>
      <c r="J500" s="7"/>
      <c r="K500" s="7"/>
    </row>
    <row r="501" ht="15.75" customHeight="1">
      <c r="A501" s="4" t="s">
        <v>1119</v>
      </c>
      <c r="B501" s="5">
        <v>270000.0</v>
      </c>
      <c r="C501" s="4" t="s">
        <v>848</v>
      </c>
      <c r="D501" s="6">
        <v>-0.4</v>
      </c>
      <c r="E501" s="5">
        <v>1000.0</v>
      </c>
      <c r="F501" s="4" t="s">
        <v>198</v>
      </c>
      <c r="G501" s="4" t="s">
        <v>41</v>
      </c>
      <c r="H501" s="4" t="s">
        <v>1120</v>
      </c>
      <c r="I501" s="7"/>
      <c r="J501" s="7"/>
      <c r="K501" s="7"/>
    </row>
    <row r="502" ht="15.75" customHeight="1">
      <c r="A502" s="4" t="s">
        <v>721</v>
      </c>
      <c r="B502" s="5">
        <v>273000.0</v>
      </c>
      <c r="C502" s="4" t="s">
        <v>11</v>
      </c>
      <c r="D502" s="6" t="s">
        <v>11</v>
      </c>
      <c r="E502" s="5">
        <v>2.0</v>
      </c>
      <c r="F502" s="4" t="s">
        <v>569</v>
      </c>
      <c r="G502" s="4" t="s">
        <v>41</v>
      </c>
      <c r="H502" s="4" t="s">
        <v>722</v>
      </c>
      <c r="I502" s="7"/>
      <c r="J502" s="7"/>
      <c r="K502" s="7"/>
    </row>
    <row r="503" ht="15.75" customHeight="1">
      <c r="A503" s="4" t="s">
        <v>1105</v>
      </c>
      <c r="B503" s="5">
        <v>276000.0</v>
      </c>
      <c r="C503" s="4" t="s">
        <v>1106</v>
      </c>
      <c r="D503" s="6">
        <v>-0.38</v>
      </c>
      <c r="E503" s="5">
        <v>754.0</v>
      </c>
      <c r="F503" s="4" t="s">
        <v>1107</v>
      </c>
      <c r="G503" s="4" t="s">
        <v>41</v>
      </c>
      <c r="H503" s="4" t="s">
        <v>1108</v>
      </c>
      <c r="I503" s="7"/>
      <c r="J503" s="7"/>
      <c r="K503" s="7"/>
    </row>
    <row r="504" ht="15.75" customHeight="1">
      <c r="A504" s="4" t="s">
        <v>1288</v>
      </c>
      <c r="B504" s="5">
        <v>277490.0</v>
      </c>
      <c r="C504" s="4" t="s">
        <v>1196</v>
      </c>
      <c r="D504" s="6">
        <v>-0.5</v>
      </c>
      <c r="E504" s="5">
        <v>971.0</v>
      </c>
      <c r="F504" s="4" t="s">
        <v>114</v>
      </c>
      <c r="G504" s="4" t="s">
        <v>66</v>
      </c>
      <c r="H504" s="4" t="s">
        <v>1289</v>
      </c>
      <c r="I504" s="7"/>
      <c r="J504" s="7"/>
      <c r="K504" s="7"/>
    </row>
    <row r="505" ht="15.75" customHeight="1">
      <c r="A505" s="4" t="s">
        <v>412</v>
      </c>
      <c r="B505" s="5">
        <v>280000.0</v>
      </c>
      <c r="C505" s="4" t="s">
        <v>11</v>
      </c>
      <c r="D505" s="6" t="s">
        <v>11</v>
      </c>
      <c r="E505" s="5">
        <v>9.0</v>
      </c>
      <c r="F505" s="4" t="s">
        <v>324</v>
      </c>
      <c r="G505" s="4" t="s">
        <v>66</v>
      </c>
      <c r="H505" s="4" t="s">
        <v>413</v>
      </c>
      <c r="I505" s="7"/>
      <c r="J505" s="7"/>
      <c r="K505" s="7"/>
    </row>
    <row r="506" ht="15.75" customHeight="1">
      <c r="A506" s="4" t="s">
        <v>414</v>
      </c>
      <c r="B506" s="5">
        <v>280000.0</v>
      </c>
      <c r="C506" s="4" t="s">
        <v>11</v>
      </c>
      <c r="D506" s="6" t="s">
        <v>11</v>
      </c>
      <c r="E506" s="5">
        <v>2000.0</v>
      </c>
      <c r="F506" s="4" t="s">
        <v>324</v>
      </c>
      <c r="G506" s="4" t="s">
        <v>41</v>
      </c>
      <c r="H506" s="4" t="s">
        <v>415</v>
      </c>
      <c r="I506" s="7"/>
      <c r="J506" s="7"/>
      <c r="K506" s="7"/>
    </row>
    <row r="507" ht="15.75" customHeight="1">
      <c r="A507" s="4" t="s">
        <v>1129</v>
      </c>
      <c r="B507" s="5">
        <v>280000.0</v>
      </c>
      <c r="C507" s="4" t="s">
        <v>1130</v>
      </c>
      <c r="D507" s="6">
        <v>-0.41</v>
      </c>
      <c r="E507" s="5">
        <v>151.0</v>
      </c>
      <c r="F507" s="4" t="s">
        <v>157</v>
      </c>
      <c r="G507" s="4" t="s">
        <v>66</v>
      </c>
      <c r="H507" s="4" t="s">
        <v>1131</v>
      </c>
      <c r="I507" s="7"/>
      <c r="J507" s="7"/>
      <c r="K507" s="7"/>
    </row>
    <row r="508" ht="15.75" customHeight="1">
      <c r="A508" s="4" t="s">
        <v>1387</v>
      </c>
      <c r="B508" s="5">
        <v>280000.0</v>
      </c>
      <c r="C508" s="4" t="s">
        <v>1388</v>
      </c>
      <c r="D508" s="6">
        <v>-0.58</v>
      </c>
      <c r="E508" s="5">
        <v>44.0</v>
      </c>
      <c r="F508" s="4" t="s">
        <v>198</v>
      </c>
      <c r="G508" s="4" t="s">
        <v>66</v>
      </c>
      <c r="H508" s="4" t="s">
        <v>1389</v>
      </c>
      <c r="I508" s="7"/>
      <c r="J508" s="7"/>
      <c r="K508" s="7"/>
    </row>
    <row r="509" ht="15.75" customHeight="1">
      <c r="A509" s="4" t="s">
        <v>416</v>
      </c>
      <c r="B509" s="5">
        <v>284000.0</v>
      </c>
      <c r="C509" s="4" t="s">
        <v>11</v>
      </c>
      <c r="D509" s="6" t="s">
        <v>11</v>
      </c>
      <c r="E509" s="5">
        <v>5.0</v>
      </c>
      <c r="F509" s="4" t="s">
        <v>324</v>
      </c>
      <c r="G509" s="4" t="s">
        <v>83</v>
      </c>
      <c r="H509" s="4" t="s">
        <v>417</v>
      </c>
      <c r="I509" s="7"/>
      <c r="J509" s="7"/>
      <c r="K509" s="7"/>
    </row>
    <row r="510" ht="15.75" customHeight="1">
      <c r="A510" s="4" t="s">
        <v>723</v>
      </c>
      <c r="B510" s="5">
        <v>284000.0</v>
      </c>
      <c r="C510" s="4" t="s">
        <v>11</v>
      </c>
      <c r="D510" s="6" t="s">
        <v>11</v>
      </c>
      <c r="E510" s="5">
        <v>10.0</v>
      </c>
      <c r="F510" s="4" t="s">
        <v>569</v>
      </c>
      <c r="G510" s="4" t="s">
        <v>66</v>
      </c>
      <c r="H510" s="4" t="s">
        <v>724</v>
      </c>
      <c r="I510" s="7"/>
      <c r="J510" s="7"/>
      <c r="K510" s="7"/>
    </row>
    <row r="511" ht="15.75" customHeight="1">
      <c r="A511" s="4" t="s">
        <v>1056</v>
      </c>
      <c r="B511" s="5">
        <v>287000.0</v>
      </c>
      <c r="C511" s="4" t="s">
        <v>1057</v>
      </c>
      <c r="D511" s="6">
        <v>-0.35</v>
      </c>
      <c r="E511" s="5">
        <v>1.0</v>
      </c>
      <c r="F511" s="4" t="s">
        <v>569</v>
      </c>
      <c r="G511" s="4" t="s">
        <v>128</v>
      </c>
      <c r="H511" s="4" t="s">
        <v>1058</v>
      </c>
      <c r="I511" s="7"/>
      <c r="J511" s="7"/>
      <c r="K511" s="7"/>
    </row>
    <row r="512" ht="15.75" customHeight="1">
      <c r="A512" s="4" t="s">
        <v>725</v>
      </c>
      <c r="B512" s="5">
        <v>287100.0</v>
      </c>
      <c r="C512" s="4" t="s">
        <v>11</v>
      </c>
      <c r="D512" s="6" t="s">
        <v>11</v>
      </c>
      <c r="E512" s="5">
        <v>48.0</v>
      </c>
      <c r="F512" s="4" t="s">
        <v>569</v>
      </c>
      <c r="G512" s="4" t="s">
        <v>64</v>
      </c>
      <c r="H512" s="4" t="s">
        <v>726</v>
      </c>
      <c r="I512" s="7"/>
      <c r="J512" s="7"/>
      <c r="K512" s="7"/>
    </row>
    <row r="513" ht="15.75" customHeight="1">
      <c r="A513" s="4" t="s">
        <v>288</v>
      </c>
      <c r="B513" s="5">
        <v>287570.0</v>
      </c>
      <c r="C513" s="4" t="s">
        <v>11</v>
      </c>
      <c r="D513" s="6" t="s">
        <v>11</v>
      </c>
      <c r="E513" s="5">
        <v>12.0</v>
      </c>
      <c r="F513" s="4" t="s">
        <v>198</v>
      </c>
      <c r="G513" s="4" t="s">
        <v>49</v>
      </c>
      <c r="H513" s="4" t="s">
        <v>289</v>
      </c>
      <c r="I513" s="7"/>
      <c r="J513" s="7"/>
      <c r="K513" s="7"/>
    </row>
    <row r="514" ht="15.75" customHeight="1">
      <c r="A514" s="4" t="s">
        <v>807</v>
      </c>
      <c r="B514" s="5">
        <v>289700.0</v>
      </c>
      <c r="C514" s="4" t="s">
        <v>808</v>
      </c>
      <c r="D514" s="6">
        <v>-0.01</v>
      </c>
      <c r="E514" s="5">
        <v>9.0</v>
      </c>
      <c r="F514" s="4" t="s">
        <v>324</v>
      </c>
      <c r="G514" s="4" t="s">
        <v>41</v>
      </c>
      <c r="H514" s="4" t="s">
        <v>809</v>
      </c>
      <c r="I514" s="7"/>
      <c r="J514" s="7"/>
      <c r="K514" s="7"/>
    </row>
    <row r="515" ht="15.75" customHeight="1">
      <c r="A515" s="4" t="s">
        <v>321</v>
      </c>
      <c r="B515" s="5">
        <v>290000.0</v>
      </c>
      <c r="C515" s="4" t="s">
        <v>11</v>
      </c>
      <c r="D515" s="6" t="s">
        <v>11</v>
      </c>
      <c r="E515" s="6" t="s">
        <v>11</v>
      </c>
      <c r="F515" s="4" t="s">
        <v>303</v>
      </c>
      <c r="G515" s="4" t="s">
        <v>23</v>
      </c>
      <c r="H515" s="4" t="s">
        <v>322</v>
      </c>
      <c r="I515" s="7"/>
      <c r="J515" s="7"/>
      <c r="K515" s="7"/>
    </row>
    <row r="516" ht="15.75" customHeight="1">
      <c r="A516" s="4" t="s">
        <v>727</v>
      </c>
      <c r="B516" s="5">
        <v>290000.0</v>
      </c>
      <c r="C516" s="4" t="s">
        <v>11</v>
      </c>
      <c r="D516" s="6" t="s">
        <v>11</v>
      </c>
      <c r="E516" s="5">
        <v>2.0</v>
      </c>
      <c r="F516" s="4" t="s">
        <v>569</v>
      </c>
      <c r="G516" s="4" t="s">
        <v>16</v>
      </c>
      <c r="H516" s="4" t="s">
        <v>728</v>
      </c>
      <c r="I516" s="7"/>
      <c r="J516" s="7"/>
      <c r="K516" s="7"/>
    </row>
    <row r="517" ht="15.75" customHeight="1">
      <c r="A517" s="4" t="s">
        <v>290</v>
      </c>
      <c r="B517" s="5">
        <v>290500.0</v>
      </c>
      <c r="C517" s="4" t="s">
        <v>11</v>
      </c>
      <c r="D517" s="6" t="s">
        <v>11</v>
      </c>
      <c r="E517" s="5">
        <v>92.0</v>
      </c>
      <c r="F517" s="4" t="s">
        <v>198</v>
      </c>
      <c r="G517" s="4" t="s">
        <v>41</v>
      </c>
      <c r="H517" s="4" t="s">
        <v>291</v>
      </c>
      <c r="I517" s="7"/>
      <c r="J517" s="7"/>
      <c r="K517" s="7"/>
    </row>
    <row r="518" ht="15.75" customHeight="1">
      <c r="A518" s="4" t="s">
        <v>1078</v>
      </c>
      <c r="B518" s="5">
        <v>290850.0</v>
      </c>
      <c r="C518" s="4" t="s">
        <v>1079</v>
      </c>
      <c r="D518" s="6">
        <v>-0.37</v>
      </c>
      <c r="E518" s="5">
        <v>428.0</v>
      </c>
      <c r="F518" s="4" t="s">
        <v>114</v>
      </c>
      <c r="G518" s="4" t="s">
        <v>49</v>
      </c>
      <c r="H518" s="4" t="s">
        <v>1080</v>
      </c>
      <c r="I518" s="7"/>
      <c r="J518" s="7"/>
      <c r="K518" s="7"/>
    </row>
    <row r="519" ht="15.75" customHeight="1">
      <c r="A519" s="4" t="s">
        <v>292</v>
      </c>
      <c r="B519" s="5">
        <v>292500.0</v>
      </c>
      <c r="C519" s="4" t="s">
        <v>11</v>
      </c>
      <c r="D519" s="6" t="s">
        <v>11</v>
      </c>
      <c r="E519" s="5">
        <v>705.0</v>
      </c>
      <c r="F519" s="4" t="s">
        <v>198</v>
      </c>
      <c r="G519" s="4" t="s">
        <v>53</v>
      </c>
      <c r="H519" s="4" t="s">
        <v>293</v>
      </c>
      <c r="I519" s="7"/>
      <c r="J519" s="7"/>
      <c r="K519" s="7"/>
    </row>
    <row r="520" ht="15.75" customHeight="1">
      <c r="A520" s="4" t="s">
        <v>729</v>
      </c>
      <c r="B520" s="5">
        <v>295000.0</v>
      </c>
      <c r="C520" s="4" t="s">
        <v>11</v>
      </c>
      <c r="D520" s="6" t="s">
        <v>11</v>
      </c>
      <c r="E520" s="5">
        <v>1.0</v>
      </c>
      <c r="F520" s="4" t="s">
        <v>569</v>
      </c>
      <c r="G520" s="4" t="s">
        <v>109</v>
      </c>
      <c r="H520" s="4" t="s">
        <v>730</v>
      </c>
      <c r="I520" s="7"/>
      <c r="J520" s="7"/>
      <c r="K520" s="7"/>
    </row>
    <row r="521" ht="15.75" customHeight="1">
      <c r="A521" s="4" t="s">
        <v>731</v>
      </c>
      <c r="B521" s="5">
        <v>295000.0</v>
      </c>
      <c r="C521" s="4" t="s">
        <v>11</v>
      </c>
      <c r="D521" s="6" t="s">
        <v>11</v>
      </c>
      <c r="E521" s="5">
        <v>25.0</v>
      </c>
      <c r="F521" s="4" t="s">
        <v>569</v>
      </c>
      <c r="G521" s="4" t="s">
        <v>131</v>
      </c>
      <c r="H521" s="4" t="s">
        <v>732</v>
      </c>
      <c r="I521" s="7"/>
      <c r="J521" s="7"/>
      <c r="K521" s="7"/>
    </row>
    <row r="522" ht="15.75" customHeight="1">
      <c r="A522" s="4" t="s">
        <v>1247</v>
      </c>
      <c r="B522" s="5">
        <v>295000.0</v>
      </c>
      <c r="C522" s="4" t="s">
        <v>1248</v>
      </c>
      <c r="D522" s="6">
        <v>-0.47</v>
      </c>
      <c r="E522" s="5">
        <v>364.0</v>
      </c>
      <c r="F522" s="4" t="s">
        <v>157</v>
      </c>
      <c r="G522" s="4" t="s">
        <v>66</v>
      </c>
      <c r="H522" s="4" t="s">
        <v>1249</v>
      </c>
      <c r="I522" s="7"/>
      <c r="J522" s="7"/>
      <c r="K522" s="7"/>
    </row>
    <row r="523" ht="15.75" customHeight="1">
      <c r="A523" s="4" t="s">
        <v>1445</v>
      </c>
      <c r="B523" s="5">
        <v>295000.0</v>
      </c>
      <c r="C523" s="4" t="s">
        <v>1286</v>
      </c>
      <c r="D523" s="6">
        <v>-0.67</v>
      </c>
      <c r="E523" s="5">
        <v>24.0</v>
      </c>
      <c r="F523" s="4" t="s">
        <v>569</v>
      </c>
      <c r="G523" s="4" t="s">
        <v>66</v>
      </c>
      <c r="H523" s="4" t="s">
        <v>1446</v>
      </c>
      <c r="I523" s="7"/>
      <c r="J523" s="7"/>
      <c r="K523" s="7"/>
    </row>
    <row r="524" ht="15.75" customHeight="1">
      <c r="A524" s="4" t="s">
        <v>467</v>
      </c>
      <c r="B524" s="5">
        <v>295290.0</v>
      </c>
      <c r="C524" s="4" t="s">
        <v>11</v>
      </c>
      <c r="D524" s="6" t="s">
        <v>11</v>
      </c>
      <c r="E524" s="6" t="s">
        <v>11</v>
      </c>
      <c r="F524" s="4" t="s">
        <v>439</v>
      </c>
      <c r="G524" s="4" t="s">
        <v>64</v>
      </c>
      <c r="H524" s="4" t="s">
        <v>468</v>
      </c>
      <c r="I524" s="7"/>
      <c r="J524" s="7"/>
      <c r="K524" s="7"/>
    </row>
    <row r="525" ht="15.75" customHeight="1">
      <c r="A525" s="4" t="s">
        <v>1385</v>
      </c>
      <c r="B525" s="5">
        <v>296000.0</v>
      </c>
      <c r="C525" s="4" t="s">
        <v>1171</v>
      </c>
      <c r="D525" s="6">
        <v>-0.57</v>
      </c>
      <c r="E525" s="5">
        <v>1000.0</v>
      </c>
      <c r="F525" s="4" t="s">
        <v>198</v>
      </c>
      <c r="G525" s="4" t="s">
        <v>66</v>
      </c>
      <c r="H525" s="4" t="s">
        <v>1386</v>
      </c>
      <c r="I525" s="7"/>
      <c r="J525" s="7"/>
      <c r="K525" s="7"/>
    </row>
    <row r="526" ht="15.75" customHeight="1">
      <c r="A526" s="4" t="s">
        <v>22</v>
      </c>
      <c r="B526" s="5">
        <v>299000.0</v>
      </c>
      <c r="C526" s="4" t="s">
        <v>11</v>
      </c>
      <c r="D526" s="6" t="s">
        <v>11</v>
      </c>
      <c r="E526" s="6" t="s">
        <v>11</v>
      </c>
      <c r="F526" s="4" t="s">
        <v>11</v>
      </c>
      <c r="G526" s="4" t="s">
        <v>23</v>
      </c>
      <c r="H526" s="4" t="s">
        <v>24</v>
      </c>
      <c r="I526" s="7"/>
      <c r="J526" s="8" t="s">
        <v>25</v>
      </c>
      <c r="K526" s="7">
        <v>2.0</v>
      </c>
    </row>
    <row r="527" ht="15.75" customHeight="1">
      <c r="A527" s="4" t="s">
        <v>733</v>
      </c>
      <c r="B527" s="5">
        <v>300000.0</v>
      </c>
      <c r="C527" s="4" t="s">
        <v>11</v>
      </c>
      <c r="D527" s="6" t="s">
        <v>11</v>
      </c>
      <c r="E527" s="5">
        <v>1.0</v>
      </c>
      <c r="F527" s="4" t="s">
        <v>569</v>
      </c>
      <c r="G527" s="4" t="s">
        <v>16</v>
      </c>
      <c r="H527" s="4" t="s">
        <v>734</v>
      </c>
      <c r="I527" s="7"/>
      <c r="J527" s="7"/>
      <c r="K527" s="7"/>
    </row>
    <row r="528" ht="15.75" customHeight="1">
      <c r="A528" s="4" t="s">
        <v>882</v>
      </c>
      <c r="B528" s="5">
        <v>301600.0</v>
      </c>
      <c r="C528" s="4" t="s">
        <v>883</v>
      </c>
      <c r="D528" s="6">
        <v>-0.06</v>
      </c>
      <c r="E528" s="5">
        <v>3000.0</v>
      </c>
      <c r="F528" s="4" t="s">
        <v>476</v>
      </c>
      <c r="G528" s="4" t="s">
        <v>41</v>
      </c>
      <c r="H528" s="4" t="s">
        <v>884</v>
      </c>
      <c r="I528" s="7"/>
      <c r="J528" s="7"/>
      <c r="K528" s="7"/>
    </row>
    <row r="529" ht="15.75" customHeight="1">
      <c r="A529" s="4" t="s">
        <v>735</v>
      </c>
      <c r="B529" s="5">
        <v>305000.0</v>
      </c>
      <c r="C529" s="4" t="s">
        <v>11</v>
      </c>
      <c r="D529" s="6" t="s">
        <v>11</v>
      </c>
      <c r="E529" s="5">
        <v>1.0</v>
      </c>
      <c r="F529" s="4" t="s">
        <v>569</v>
      </c>
      <c r="G529" s="4" t="s">
        <v>37</v>
      </c>
      <c r="H529" s="4" t="s">
        <v>736</v>
      </c>
      <c r="I529" s="7"/>
      <c r="J529" s="7"/>
      <c r="K529" s="7"/>
    </row>
    <row r="530" ht="15.75" customHeight="1">
      <c r="A530" s="4" t="s">
        <v>26</v>
      </c>
      <c r="B530" s="5">
        <v>308000.0</v>
      </c>
      <c r="C530" s="4" t="s">
        <v>11</v>
      </c>
      <c r="D530" s="6" t="s">
        <v>11</v>
      </c>
      <c r="E530" s="6" t="s">
        <v>11</v>
      </c>
      <c r="F530" s="4" t="s">
        <v>11</v>
      </c>
      <c r="G530" s="4" t="s">
        <v>27</v>
      </c>
      <c r="H530" s="4" t="s">
        <v>28</v>
      </c>
      <c r="I530" s="7"/>
      <c r="J530" s="8" t="s">
        <v>29</v>
      </c>
      <c r="K530" s="7">
        <v>4.0</v>
      </c>
    </row>
    <row r="531" ht="15.75" customHeight="1">
      <c r="A531" s="4" t="s">
        <v>294</v>
      </c>
      <c r="B531" s="5">
        <v>310000.0</v>
      </c>
      <c r="C531" s="4" t="s">
        <v>11</v>
      </c>
      <c r="D531" s="6" t="s">
        <v>11</v>
      </c>
      <c r="E531" s="5">
        <v>99.0</v>
      </c>
      <c r="F531" s="4" t="s">
        <v>198</v>
      </c>
      <c r="G531" s="4" t="s">
        <v>41</v>
      </c>
      <c r="H531" s="4" t="s">
        <v>295</v>
      </c>
      <c r="I531" s="7"/>
      <c r="J531" s="7"/>
      <c r="K531" s="7"/>
    </row>
    <row r="532" ht="15.75" customHeight="1">
      <c r="A532" s="4" t="s">
        <v>834</v>
      </c>
      <c r="B532" s="5">
        <v>310000.0</v>
      </c>
      <c r="C532" s="4" t="s">
        <v>835</v>
      </c>
      <c r="D532" s="6">
        <v>-0.01</v>
      </c>
      <c r="E532" s="5">
        <v>9.0</v>
      </c>
      <c r="F532" s="4" t="s">
        <v>569</v>
      </c>
      <c r="G532" s="4" t="s">
        <v>96</v>
      </c>
      <c r="H532" s="4" t="s">
        <v>836</v>
      </c>
      <c r="I532" s="7"/>
      <c r="J532" s="7"/>
      <c r="K532" s="7"/>
    </row>
    <row r="533" ht="15.75" customHeight="1">
      <c r="A533" s="4" t="s">
        <v>737</v>
      </c>
      <c r="B533" s="5">
        <v>310730.0</v>
      </c>
      <c r="C533" s="4" t="s">
        <v>11</v>
      </c>
      <c r="D533" s="6" t="s">
        <v>11</v>
      </c>
      <c r="E533" s="5">
        <v>8.0</v>
      </c>
      <c r="F533" s="4" t="s">
        <v>569</v>
      </c>
      <c r="G533" s="4" t="s">
        <v>66</v>
      </c>
      <c r="H533" s="4" t="s">
        <v>738</v>
      </c>
      <c r="I533" s="7"/>
      <c r="J533" s="7"/>
      <c r="K533" s="7"/>
    </row>
    <row r="534" ht="15.75" customHeight="1">
      <c r="A534" s="4" t="s">
        <v>58</v>
      </c>
      <c r="B534" s="5">
        <v>310999.0</v>
      </c>
      <c r="C534" s="4" t="s">
        <v>963</v>
      </c>
      <c r="D534" s="6">
        <v>-0.22</v>
      </c>
      <c r="E534" s="5">
        <v>73.0</v>
      </c>
      <c r="F534" s="4" t="s">
        <v>476</v>
      </c>
      <c r="G534" s="4" t="s">
        <v>134</v>
      </c>
      <c r="H534" s="4" t="s">
        <v>964</v>
      </c>
      <c r="I534" s="7"/>
      <c r="J534" s="7"/>
      <c r="K534" s="7"/>
    </row>
    <row r="535" ht="15.75" customHeight="1">
      <c r="A535" s="4" t="s">
        <v>192</v>
      </c>
      <c r="B535" s="5">
        <v>312000.0</v>
      </c>
      <c r="C535" s="4" t="s">
        <v>11</v>
      </c>
      <c r="D535" s="6" t="s">
        <v>11</v>
      </c>
      <c r="E535" s="5">
        <v>17.0</v>
      </c>
      <c r="F535" s="4" t="s">
        <v>157</v>
      </c>
      <c r="G535" s="4" t="s">
        <v>21</v>
      </c>
      <c r="H535" s="4" t="s">
        <v>193</v>
      </c>
      <c r="I535" s="7"/>
      <c r="J535" s="7"/>
      <c r="K535" s="7"/>
    </row>
    <row r="536" ht="15.75" customHeight="1">
      <c r="A536" s="4" t="s">
        <v>553</v>
      </c>
      <c r="B536" s="5">
        <v>315000.0</v>
      </c>
      <c r="C536" s="4" t="s">
        <v>11</v>
      </c>
      <c r="D536" s="6" t="s">
        <v>11</v>
      </c>
      <c r="E536" s="5">
        <v>493.0</v>
      </c>
      <c r="F536" s="4" t="s">
        <v>476</v>
      </c>
      <c r="G536" s="4" t="s">
        <v>66</v>
      </c>
      <c r="H536" s="4" t="s">
        <v>554</v>
      </c>
      <c r="I536" s="7"/>
      <c r="J536" s="7"/>
      <c r="K536" s="7"/>
    </row>
    <row r="537" ht="15.75" customHeight="1">
      <c r="A537" s="4" t="s">
        <v>1442</v>
      </c>
      <c r="B537" s="5">
        <v>319000.0</v>
      </c>
      <c r="C537" s="4" t="s">
        <v>1443</v>
      </c>
      <c r="D537" s="6">
        <v>-0.67</v>
      </c>
      <c r="E537" s="5">
        <v>149.0</v>
      </c>
      <c r="F537" s="4" t="s">
        <v>324</v>
      </c>
      <c r="G537" s="4" t="s">
        <v>66</v>
      </c>
      <c r="H537" s="4" t="s">
        <v>1444</v>
      </c>
      <c r="I537" s="7"/>
      <c r="J537" s="7"/>
      <c r="K537" s="7"/>
    </row>
    <row r="538" ht="15.75" customHeight="1">
      <c r="A538" s="4" t="s">
        <v>418</v>
      </c>
      <c r="B538" s="5">
        <v>319900.0</v>
      </c>
      <c r="C538" s="4" t="s">
        <v>11</v>
      </c>
      <c r="D538" s="6" t="s">
        <v>11</v>
      </c>
      <c r="E538" s="5">
        <v>14.0</v>
      </c>
      <c r="F538" s="4" t="s">
        <v>324</v>
      </c>
      <c r="G538" s="4" t="s">
        <v>35</v>
      </c>
      <c r="H538" s="4" t="s">
        <v>419</v>
      </c>
      <c r="I538" s="7"/>
      <c r="J538" s="7"/>
      <c r="K538" s="7"/>
    </row>
    <row r="539" ht="15.75" customHeight="1">
      <c r="A539" s="4" t="s">
        <v>420</v>
      </c>
      <c r="B539" s="5">
        <v>321000.0</v>
      </c>
      <c r="C539" s="4" t="s">
        <v>11</v>
      </c>
      <c r="D539" s="6" t="s">
        <v>11</v>
      </c>
      <c r="E539" s="5">
        <v>291.0</v>
      </c>
      <c r="F539" s="4" t="s">
        <v>324</v>
      </c>
      <c r="G539" s="4" t="s">
        <v>66</v>
      </c>
      <c r="H539" s="4" t="s">
        <v>421</v>
      </c>
      <c r="I539" s="7"/>
      <c r="J539" s="7"/>
      <c r="K539" s="7"/>
    </row>
    <row r="540" ht="15.75" customHeight="1">
      <c r="A540" s="4" t="s">
        <v>97</v>
      </c>
      <c r="B540" s="5">
        <v>321491.0</v>
      </c>
      <c r="C540" s="4" t="s">
        <v>11</v>
      </c>
      <c r="D540" s="6" t="s">
        <v>11</v>
      </c>
      <c r="E540" s="5">
        <v>132.0</v>
      </c>
      <c r="F540" s="4" t="s">
        <v>79</v>
      </c>
      <c r="G540" s="4" t="s">
        <v>71</v>
      </c>
      <c r="H540" s="4" t="s">
        <v>98</v>
      </c>
      <c r="I540" s="7"/>
      <c r="J540" s="8" t="s">
        <v>99</v>
      </c>
      <c r="K540" s="7">
        <v>1.0</v>
      </c>
    </row>
    <row r="541" ht="15.75" customHeight="1">
      <c r="A541" s="4" t="s">
        <v>739</v>
      </c>
      <c r="B541" s="5">
        <v>324000.0</v>
      </c>
      <c r="C541" s="4" t="s">
        <v>11</v>
      </c>
      <c r="D541" s="6" t="s">
        <v>11</v>
      </c>
      <c r="E541" s="5">
        <v>10.0</v>
      </c>
      <c r="F541" s="4" t="s">
        <v>569</v>
      </c>
      <c r="G541" s="4" t="s">
        <v>49</v>
      </c>
      <c r="H541" s="4" t="s">
        <v>740</v>
      </c>
      <c r="I541" s="7"/>
      <c r="J541" s="7"/>
      <c r="K541" s="7"/>
    </row>
    <row r="542" ht="15.75" customHeight="1">
      <c r="A542" s="4" t="s">
        <v>555</v>
      </c>
      <c r="B542" s="5">
        <v>324735.0</v>
      </c>
      <c r="C542" s="4" t="s">
        <v>11</v>
      </c>
      <c r="D542" s="6" t="s">
        <v>11</v>
      </c>
      <c r="E542" s="5">
        <v>21.0</v>
      </c>
      <c r="F542" s="4" t="s">
        <v>476</v>
      </c>
      <c r="G542" s="4" t="s">
        <v>12</v>
      </c>
      <c r="H542" s="4" t="s">
        <v>556</v>
      </c>
      <c r="I542" s="7"/>
      <c r="J542" s="7"/>
      <c r="K542" s="7"/>
    </row>
    <row r="543" ht="15.75" customHeight="1">
      <c r="A543" s="4" t="s">
        <v>422</v>
      </c>
      <c r="B543" s="5">
        <v>326000.0</v>
      </c>
      <c r="C543" s="4" t="s">
        <v>11</v>
      </c>
      <c r="D543" s="6" t="s">
        <v>11</v>
      </c>
      <c r="E543" s="5">
        <v>63.0</v>
      </c>
      <c r="F543" s="4" t="s">
        <v>324</v>
      </c>
      <c r="G543" s="4" t="s">
        <v>14</v>
      </c>
      <c r="H543" s="4" t="s">
        <v>423</v>
      </c>
      <c r="I543" s="7"/>
      <c r="J543" s="7"/>
      <c r="K543" s="7"/>
    </row>
    <row r="544" ht="15.75" customHeight="1">
      <c r="A544" s="4" t="s">
        <v>469</v>
      </c>
      <c r="B544" s="5">
        <v>328855.0</v>
      </c>
      <c r="C544" s="4" t="s">
        <v>11</v>
      </c>
      <c r="D544" s="6" t="s">
        <v>11</v>
      </c>
      <c r="E544" s="6" t="s">
        <v>11</v>
      </c>
      <c r="F544" s="4" t="s">
        <v>439</v>
      </c>
      <c r="G544" s="4" t="s">
        <v>16</v>
      </c>
      <c r="H544" s="4" t="s">
        <v>470</v>
      </c>
      <c r="I544" s="7"/>
      <c r="J544" s="7"/>
      <c r="K544" s="7"/>
    </row>
    <row r="545" ht="15.75" customHeight="1">
      <c r="A545" s="4" t="s">
        <v>741</v>
      </c>
      <c r="B545" s="5">
        <v>329000.0</v>
      </c>
      <c r="C545" s="4" t="s">
        <v>11</v>
      </c>
      <c r="D545" s="6" t="s">
        <v>11</v>
      </c>
      <c r="E545" s="5">
        <v>7.0</v>
      </c>
      <c r="F545" s="4" t="s">
        <v>569</v>
      </c>
      <c r="G545" s="4" t="s">
        <v>144</v>
      </c>
      <c r="H545" s="4" t="s">
        <v>742</v>
      </c>
      <c r="I545" s="7"/>
      <c r="J545" s="7"/>
      <c r="K545" s="7"/>
    </row>
    <row r="546" ht="15.75" customHeight="1">
      <c r="A546" s="4" t="s">
        <v>65</v>
      </c>
      <c r="B546" s="5">
        <v>335000.0</v>
      </c>
      <c r="C546" s="4" t="s">
        <v>11</v>
      </c>
      <c r="D546" s="6" t="s">
        <v>11</v>
      </c>
      <c r="E546" s="5">
        <v>1.0</v>
      </c>
      <c r="F546" s="4" t="s">
        <v>59</v>
      </c>
      <c r="G546" s="4" t="s">
        <v>66</v>
      </c>
      <c r="H546" s="4" t="s">
        <v>67</v>
      </c>
      <c r="I546" s="7"/>
      <c r="J546" s="8" t="s">
        <v>68</v>
      </c>
      <c r="K546" s="7">
        <v>1.0</v>
      </c>
    </row>
    <row r="547" ht="15.75" customHeight="1">
      <c r="A547" s="4" t="s">
        <v>471</v>
      </c>
      <c r="B547" s="5">
        <v>340000.0</v>
      </c>
      <c r="C547" s="4" t="s">
        <v>11</v>
      </c>
      <c r="D547" s="6" t="s">
        <v>11</v>
      </c>
      <c r="E547" s="6" t="s">
        <v>11</v>
      </c>
      <c r="F547" s="4" t="s">
        <v>439</v>
      </c>
      <c r="G547" s="4" t="s">
        <v>41</v>
      </c>
      <c r="H547" s="4" t="s">
        <v>472</v>
      </c>
      <c r="I547" s="7"/>
      <c r="J547" s="7"/>
      <c r="K547" s="7"/>
    </row>
    <row r="548" ht="15.75" customHeight="1">
      <c r="A548" s="4" t="s">
        <v>1102</v>
      </c>
      <c r="B548" s="5">
        <v>340000.0</v>
      </c>
      <c r="C548" s="4" t="s">
        <v>1103</v>
      </c>
      <c r="D548" s="6">
        <v>-0.38</v>
      </c>
      <c r="E548" s="5">
        <v>17.0</v>
      </c>
      <c r="F548" s="4" t="s">
        <v>324</v>
      </c>
      <c r="G548" s="4" t="s">
        <v>66</v>
      </c>
      <c r="H548" s="4" t="s">
        <v>1104</v>
      </c>
      <c r="I548" s="7"/>
      <c r="J548" s="7"/>
      <c r="K548" s="7"/>
    </row>
    <row r="549" ht="15.75" customHeight="1">
      <c r="A549" s="4" t="s">
        <v>1155</v>
      </c>
      <c r="B549" s="5">
        <v>340000.0</v>
      </c>
      <c r="C549" s="4" t="s">
        <v>1156</v>
      </c>
      <c r="D549" s="6">
        <v>-0.42</v>
      </c>
      <c r="E549" s="5">
        <v>1000.0</v>
      </c>
      <c r="F549" s="4" t="s">
        <v>198</v>
      </c>
      <c r="G549" s="4" t="s">
        <v>66</v>
      </c>
      <c r="H549" s="4" t="s">
        <v>1157</v>
      </c>
      <c r="I549" s="7"/>
      <c r="J549" s="7"/>
      <c r="K549" s="7"/>
    </row>
    <row r="550" ht="15.75" customHeight="1">
      <c r="A550" s="4" t="s">
        <v>1096</v>
      </c>
      <c r="B550" s="5">
        <v>343000.0</v>
      </c>
      <c r="C550" s="4" t="s">
        <v>1097</v>
      </c>
      <c r="D550" s="6">
        <v>-0.38</v>
      </c>
      <c r="E550" s="5">
        <v>5000.0</v>
      </c>
      <c r="F550" s="4" t="s">
        <v>198</v>
      </c>
      <c r="G550" s="4" t="s">
        <v>66</v>
      </c>
      <c r="H550" s="4" t="s">
        <v>1098</v>
      </c>
      <c r="I550" s="7"/>
      <c r="J550" s="7"/>
      <c r="K550" s="7"/>
    </row>
    <row r="551" ht="15.75" customHeight="1">
      <c r="A551" s="4" t="s">
        <v>557</v>
      </c>
      <c r="B551" s="5">
        <v>345000.0</v>
      </c>
      <c r="C551" s="4" t="s">
        <v>11</v>
      </c>
      <c r="D551" s="6" t="s">
        <v>11</v>
      </c>
      <c r="E551" s="5">
        <v>53.0</v>
      </c>
      <c r="F551" s="4" t="s">
        <v>476</v>
      </c>
      <c r="G551" s="4" t="s">
        <v>18</v>
      </c>
      <c r="H551" s="4" t="s">
        <v>558</v>
      </c>
      <c r="I551" s="7"/>
      <c r="J551" s="7"/>
      <c r="K551" s="7"/>
    </row>
    <row r="552" ht="15.75" customHeight="1">
      <c r="A552" s="4" t="s">
        <v>783</v>
      </c>
      <c r="B552" s="5">
        <v>349000.0</v>
      </c>
      <c r="C552" s="4" t="s">
        <v>784</v>
      </c>
      <c r="D552" s="6">
        <v>-0.01</v>
      </c>
      <c r="E552" s="5">
        <v>25.0</v>
      </c>
      <c r="F552" s="4" t="s">
        <v>157</v>
      </c>
      <c r="G552" s="4" t="s">
        <v>41</v>
      </c>
      <c r="H552" s="4" t="s">
        <v>785</v>
      </c>
      <c r="I552" s="7"/>
      <c r="J552" s="7"/>
      <c r="K552" s="7"/>
    </row>
    <row r="553" ht="15.75" customHeight="1">
      <c r="A553" s="4" t="s">
        <v>743</v>
      </c>
      <c r="B553" s="5">
        <v>350000.0</v>
      </c>
      <c r="C553" s="4" t="s">
        <v>11</v>
      </c>
      <c r="D553" s="6" t="s">
        <v>11</v>
      </c>
      <c r="E553" s="5">
        <v>3.0</v>
      </c>
      <c r="F553" s="4" t="s">
        <v>569</v>
      </c>
      <c r="G553" s="4" t="s">
        <v>66</v>
      </c>
      <c r="H553" s="4" t="s">
        <v>744</v>
      </c>
      <c r="I553" s="7"/>
      <c r="J553" s="7"/>
      <c r="K553" s="7"/>
    </row>
    <row r="554" ht="15.75" customHeight="1">
      <c r="A554" s="4" t="s">
        <v>296</v>
      </c>
      <c r="B554" s="5">
        <v>353000.0</v>
      </c>
      <c r="C554" s="4" t="s">
        <v>11</v>
      </c>
      <c r="D554" s="6" t="s">
        <v>11</v>
      </c>
      <c r="E554" s="5">
        <v>5.0</v>
      </c>
      <c r="F554" s="4" t="s">
        <v>198</v>
      </c>
      <c r="G554" s="4" t="s">
        <v>21</v>
      </c>
      <c r="H554" s="4" t="s">
        <v>297</v>
      </c>
      <c r="I554" s="7"/>
      <c r="J554" s="7"/>
      <c r="K554" s="7"/>
    </row>
    <row r="555" ht="15.75" customHeight="1">
      <c r="A555" s="4" t="s">
        <v>745</v>
      </c>
      <c r="B555" s="5">
        <v>359000.0</v>
      </c>
      <c r="C555" s="4" t="s">
        <v>11</v>
      </c>
      <c r="D555" s="6" t="s">
        <v>11</v>
      </c>
      <c r="E555" s="5">
        <v>1.0</v>
      </c>
      <c r="F555" s="4" t="s">
        <v>569</v>
      </c>
      <c r="G555" s="4" t="s">
        <v>41</v>
      </c>
      <c r="H555" s="4" t="s">
        <v>746</v>
      </c>
      <c r="I555" s="7"/>
      <c r="J555" s="7"/>
      <c r="K555" s="7"/>
    </row>
    <row r="556" ht="15.75" customHeight="1">
      <c r="A556" s="4" t="s">
        <v>747</v>
      </c>
      <c r="B556" s="5">
        <v>360000.0</v>
      </c>
      <c r="C556" s="4" t="s">
        <v>11</v>
      </c>
      <c r="D556" s="6" t="s">
        <v>11</v>
      </c>
      <c r="E556" s="5">
        <v>2.0</v>
      </c>
      <c r="F556" s="4" t="s">
        <v>569</v>
      </c>
      <c r="G556" s="4" t="s">
        <v>41</v>
      </c>
      <c r="H556" s="4" t="s">
        <v>748</v>
      </c>
      <c r="I556" s="7"/>
      <c r="J556" s="7"/>
      <c r="K556" s="7"/>
    </row>
    <row r="557" ht="15.75" customHeight="1">
      <c r="A557" s="4" t="s">
        <v>1121</v>
      </c>
      <c r="B557" s="5">
        <v>360000.0</v>
      </c>
      <c r="C557" s="4" t="s">
        <v>1122</v>
      </c>
      <c r="D557" s="6">
        <v>-0.4</v>
      </c>
      <c r="E557" s="5">
        <v>141.0</v>
      </c>
      <c r="F557" s="4" t="s">
        <v>324</v>
      </c>
      <c r="G557" s="4" t="s">
        <v>49</v>
      </c>
      <c r="H557" s="4" t="s">
        <v>1123</v>
      </c>
      <c r="I557" s="7"/>
      <c r="J557" s="7"/>
      <c r="K557" s="7"/>
    </row>
    <row r="558" ht="15.75" customHeight="1">
      <c r="A558" s="4" t="s">
        <v>424</v>
      </c>
      <c r="B558" s="5">
        <v>360800.0</v>
      </c>
      <c r="C558" s="4" t="s">
        <v>11</v>
      </c>
      <c r="D558" s="6" t="s">
        <v>11</v>
      </c>
      <c r="E558" s="5">
        <v>329.0</v>
      </c>
      <c r="F558" s="4" t="s">
        <v>324</v>
      </c>
      <c r="G558" s="4" t="s">
        <v>16</v>
      </c>
      <c r="H558" s="4" t="s">
        <v>425</v>
      </c>
      <c r="I558" s="7"/>
      <c r="J558" s="7"/>
      <c r="K558" s="7"/>
    </row>
    <row r="559" ht="15.75" customHeight="1">
      <c r="A559" s="4" t="s">
        <v>1276</v>
      </c>
      <c r="B559" s="5">
        <v>365000.0</v>
      </c>
      <c r="C559" s="4" t="s">
        <v>1277</v>
      </c>
      <c r="D559" s="6">
        <v>-0.5</v>
      </c>
      <c r="E559" s="5">
        <v>594.0</v>
      </c>
      <c r="F559" s="4" t="s">
        <v>79</v>
      </c>
      <c r="G559" s="4" t="s">
        <v>66</v>
      </c>
      <c r="H559" s="4" t="s">
        <v>1278</v>
      </c>
      <c r="I559" s="7"/>
      <c r="J559" s="7"/>
      <c r="K559" s="7"/>
    </row>
    <row r="560" ht="15.75" customHeight="1">
      <c r="A560" s="4" t="s">
        <v>749</v>
      </c>
      <c r="B560" s="5">
        <v>366500.0</v>
      </c>
      <c r="C560" s="4" t="s">
        <v>11</v>
      </c>
      <c r="D560" s="6" t="s">
        <v>11</v>
      </c>
      <c r="E560" s="5">
        <v>9.0</v>
      </c>
      <c r="F560" s="4" t="s">
        <v>569</v>
      </c>
      <c r="G560" s="4" t="s">
        <v>16</v>
      </c>
      <c r="H560" s="4" t="s">
        <v>750</v>
      </c>
      <c r="I560" s="7"/>
      <c r="J560" s="7"/>
      <c r="K560" s="7"/>
    </row>
    <row r="561" ht="15.75" customHeight="1">
      <c r="A561" s="4" t="s">
        <v>426</v>
      </c>
      <c r="B561" s="5">
        <v>370000.0</v>
      </c>
      <c r="C561" s="4" t="s">
        <v>11</v>
      </c>
      <c r="D561" s="6" t="s">
        <v>11</v>
      </c>
      <c r="E561" s="5">
        <v>375.0</v>
      </c>
      <c r="F561" s="4" t="s">
        <v>324</v>
      </c>
      <c r="G561" s="4" t="s">
        <v>16</v>
      </c>
      <c r="H561" s="4" t="s">
        <v>427</v>
      </c>
      <c r="I561" s="7"/>
      <c r="J561" s="7"/>
      <c r="K561" s="7"/>
    </row>
    <row r="562" ht="15.75" customHeight="1">
      <c r="A562" s="4" t="s">
        <v>751</v>
      </c>
      <c r="B562" s="5">
        <v>370000.0</v>
      </c>
      <c r="C562" s="4" t="s">
        <v>11</v>
      </c>
      <c r="D562" s="6" t="s">
        <v>11</v>
      </c>
      <c r="E562" s="5">
        <v>14.0</v>
      </c>
      <c r="F562" s="4" t="s">
        <v>569</v>
      </c>
      <c r="G562" s="4" t="s">
        <v>57</v>
      </c>
      <c r="H562" s="4" t="s">
        <v>752</v>
      </c>
      <c r="I562" s="7"/>
      <c r="J562" s="7"/>
      <c r="K562" s="7"/>
    </row>
    <row r="563" ht="15.75" customHeight="1">
      <c r="A563" s="4" t="s">
        <v>1309</v>
      </c>
      <c r="B563" s="5">
        <v>375396.0</v>
      </c>
      <c r="C563" s="4" t="s">
        <v>1277</v>
      </c>
      <c r="D563" s="6">
        <v>-0.5</v>
      </c>
      <c r="E563" s="5">
        <v>486.0</v>
      </c>
      <c r="F563" s="4" t="s">
        <v>324</v>
      </c>
      <c r="G563" s="4" t="s">
        <v>49</v>
      </c>
      <c r="H563" s="4" t="s">
        <v>1310</v>
      </c>
      <c r="I563" s="7"/>
      <c r="J563" s="7"/>
      <c r="K563" s="7"/>
    </row>
    <row r="564" ht="15.75" customHeight="1">
      <c r="A564" s="4" t="s">
        <v>298</v>
      </c>
      <c r="B564" s="5">
        <v>375507.0</v>
      </c>
      <c r="C564" s="4" t="s">
        <v>11</v>
      </c>
      <c r="D564" s="6" t="s">
        <v>11</v>
      </c>
      <c r="E564" s="5">
        <v>119.0</v>
      </c>
      <c r="F564" s="4" t="s">
        <v>198</v>
      </c>
      <c r="G564" s="4" t="s">
        <v>66</v>
      </c>
      <c r="H564" s="4" t="s">
        <v>299</v>
      </c>
      <c r="I564" s="7"/>
      <c r="J564" s="7"/>
      <c r="K564" s="7"/>
    </row>
    <row r="565" ht="15.75" customHeight="1">
      <c r="A565" s="4" t="s">
        <v>428</v>
      </c>
      <c r="B565" s="5">
        <v>382000.0</v>
      </c>
      <c r="C565" s="4" t="s">
        <v>11</v>
      </c>
      <c r="D565" s="6" t="s">
        <v>11</v>
      </c>
      <c r="E565" s="5">
        <v>17.0</v>
      </c>
      <c r="F565" s="4" t="s">
        <v>324</v>
      </c>
      <c r="G565" s="4" t="s">
        <v>41</v>
      </c>
      <c r="H565" s="4" t="s">
        <v>429</v>
      </c>
      <c r="I565" s="7"/>
      <c r="J565" s="7"/>
      <c r="K565" s="7"/>
    </row>
    <row r="566" ht="15.75" customHeight="1">
      <c r="A566" s="4" t="s">
        <v>430</v>
      </c>
      <c r="B566" s="5">
        <v>389500.0</v>
      </c>
      <c r="C566" s="4" t="s">
        <v>11</v>
      </c>
      <c r="D566" s="6" t="s">
        <v>11</v>
      </c>
      <c r="E566" s="5">
        <v>92.0</v>
      </c>
      <c r="F566" s="4" t="s">
        <v>324</v>
      </c>
      <c r="G566" s="4" t="s">
        <v>57</v>
      </c>
      <c r="H566" s="4" t="s">
        <v>431</v>
      </c>
      <c r="I566" s="7"/>
      <c r="J566" s="7"/>
      <c r="K566" s="7"/>
    </row>
    <row r="567" ht="15.75" customHeight="1">
      <c r="A567" s="4" t="s">
        <v>753</v>
      </c>
      <c r="B567" s="5">
        <v>389500.0</v>
      </c>
      <c r="C567" s="4" t="s">
        <v>11</v>
      </c>
      <c r="D567" s="6" t="s">
        <v>11</v>
      </c>
      <c r="E567" s="5">
        <v>5.0</v>
      </c>
      <c r="F567" s="4" t="s">
        <v>569</v>
      </c>
      <c r="G567" s="4" t="s">
        <v>14</v>
      </c>
      <c r="H567" s="4" t="s">
        <v>754</v>
      </c>
      <c r="I567" s="7"/>
      <c r="J567" s="7"/>
      <c r="K567" s="7"/>
    </row>
    <row r="568" ht="15.75" customHeight="1">
      <c r="A568" s="4" t="s">
        <v>1147</v>
      </c>
      <c r="B568" s="5">
        <v>394900.0</v>
      </c>
      <c r="C568" s="4" t="s">
        <v>1122</v>
      </c>
      <c r="D568" s="6">
        <v>-0.42</v>
      </c>
      <c r="E568" s="5">
        <v>90.0</v>
      </c>
      <c r="F568" s="4" t="s">
        <v>157</v>
      </c>
      <c r="G568" s="4" t="s">
        <v>41</v>
      </c>
      <c r="H568" s="4" t="s">
        <v>1148</v>
      </c>
      <c r="I568" s="7"/>
      <c r="J568" s="7"/>
      <c r="K568" s="7"/>
    </row>
    <row r="569" ht="15.75" customHeight="1">
      <c r="A569" s="4" t="s">
        <v>755</v>
      </c>
      <c r="B569" s="5">
        <v>395000.0</v>
      </c>
      <c r="C569" s="4" t="s">
        <v>11</v>
      </c>
      <c r="D569" s="6" t="s">
        <v>11</v>
      </c>
      <c r="E569" s="5">
        <v>1.0</v>
      </c>
      <c r="F569" s="4" t="s">
        <v>569</v>
      </c>
      <c r="G569" s="4" t="s">
        <v>35</v>
      </c>
      <c r="H569" s="4" t="s">
        <v>756</v>
      </c>
      <c r="I569" s="7"/>
      <c r="J569" s="7"/>
      <c r="K569" s="7"/>
    </row>
    <row r="570" ht="15.75" customHeight="1">
      <c r="A570" s="4" t="s">
        <v>1326</v>
      </c>
      <c r="B570" s="5">
        <v>395200.0</v>
      </c>
      <c r="C570" s="4" t="s">
        <v>1318</v>
      </c>
      <c r="D570" s="6">
        <v>-0.51</v>
      </c>
      <c r="E570" s="5">
        <v>553.0</v>
      </c>
      <c r="F570" s="4" t="s">
        <v>198</v>
      </c>
      <c r="G570" s="4" t="s">
        <v>49</v>
      </c>
      <c r="H570" s="4" t="s">
        <v>1327</v>
      </c>
      <c r="I570" s="7"/>
      <c r="J570" s="7"/>
      <c r="K570" s="7"/>
    </row>
    <row r="571" ht="15.75" customHeight="1">
      <c r="A571" s="4" t="s">
        <v>30</v>
      </c>
      <c r="B571" s="5">
        <v>396000.0</v>
      </c>
      <c r="C571" s="4" t="s">
        <v>11</v>
      </c>
      <c r="D571" s="6" t="s">
        <v>11</v>
      </c>
      <c r="E571" s="6" t="s">
        <v>11</v>
      </c>
      <c r="F571" s="4" t="s">
        <v>11</v>
      </c>
      <c r="G571" s="4" t="s">
        <v>31</v>
      </c>
      <c r="H571" s="4" t="s">
        <v>32</v>
      </c>
      <c r="I571" s="7"/>
      <c r="J571" s="8" t="s">
        <v>33</v>
      </c>
      <c r="K571" s="7">
        <v>2.0</v>
      </c>
    </row>
    <row r="572" ht="15.75" customHeight="1">
      <c r="A572" s="4" t="s">
        <v>432</v>
      </c>
      <c r="B572" s="5">
        <v>399700.0</v>
      </c>
      <c r="C572" s="4" t="s">
        <v>11</v>
      </c>
      <c r="D572" s="6" t="s">
        <v>11</v>
      </c>
      <c r="E572" s="5">
        <v>15.0</v>
      </c>
      <c r="F572" s="4" t="s">
        <v>324</v>
      </c>
      <c r="G572" s="4" t="s">
        <v>66</v>
      </c>
      <c r="H572" s="4" t="s">
        <v>433</v>
      </c>
      <c r="I572" s="7"/>
      <c r="J572" s="7"/>
      <c r="K572" s="7"/>
    </row>
    <row r="573" ht="15.75" customHeight="1">
      <c r="A573" s="4" t="s">
        <v>1390</v>
      </c>
      <c r="B573" s="5">
        <v>405000.0</v>
      </c>
      <c r="C573" s="4" t="s">
        <v>1391</v>
      </c>
      <c r="D573" s="6">
        <v>-0.58</v>
      </c>
      <c r="E573" s="5">
        <v>245.0</v>
      </c>
      <c r="F573" s="4" t="s">
        <v>198</v>
      </c>
      <c r="G573" s="4" t="s">
        <v>66</v>
      </c>
      <c r="H573" s="4" t="s">
        <v>1392</v>
      </c>
      <c r="I573" s="7"/>
      <c r="J573" s="7"/>
      <c r="K573" s="7"/>
    </row>
    <row r="574" ht="15.75" customHeight="1">
      <c r="A574" s="4" t="s">
        <v>757</v>
      </c>
      <c r="B574" s="5">
        <v>409500.0</v>
      </c>
      <c r="C574" s="4" t="s">
        <v>11</v>
      </c>
      <c r="D574" s="6" t="s">
        <v>11</v>
      </c>
      <c r="E574" s="5">
        <v>2.0</v>
      </c>
      <c r="F574" s="4" t="s">
        <v>569</v>
      </c>
      <c r="G574" s="4" t="s">
        <v>106</v>
      </c>
      <c r="H574" s="4" t="s">
        <v>758</v>
      </c>
      <c r="I574" s="7"/>
      <c r="J574" s="7"/>
      <c r="K574" s="7"/>
    </row>
    <row r="575" ht="15.75" customHeight="1">
      <c r="A575" s="4" t="s">
        <v>759</v>
      </c>
      <c r="B575" s="5">
        <v>410700.0</v>
      </c>
      <c r="C575" s="4" t="s">
        <v>11</v>
      </c>
      <c r="D575" s="6" t="s">
        <v>11</v>
      </c>
      <c r="E575" s="5">
        <v>35.0</v>
      </c>
      <c r="F575" s="4" t="s">
        <v>569</v>
      </c>
      <c r="G575" s="4" t="s">
        <v>41</v>
      </c>
      <c r="H575" s="4" t="s">
        <v>760</v>
      </c>
      <c r="I575" s="7"/>
      <c r="J575" s="7"/>
      <c r="K575" s="7"/>
    </row>
    <row r="576" ht="15.75" customHeight="1">
      <c r="A576" s="4" t="s">
        <v>1328</v>
      </c>
      <c r="B576" s="5">
        <v>410995.0</v>
      </c>
      <c r="C576" s="4" t="s">
        <v>1329</v>
      </c>
      <c r="D576" s="6">
        <v>-0.51</v>
      </c>
      <c r="E576" s="5">
        <v>115.0</v>
      </c>
      <c r="F576" s="4" t="s">
        <v>324</v>
      </c>
      <c r="G576" s="4" t="s">
        <v>49</v>
      </c>
      <c r="H576" s="4" t="s">
        <v>1330</v>
      </c>
      <c r="I576" s="7"/>
      <c r="J576" s="7"/>
      <c r="K576" s="7"/>
    </row>
    <row r="577" ht="15.75" customHeight="1">
      <c r="A577" s="4" t="s">
        <v>761</v>
      </c>
      <c r="B577" s="5">
        <v>411400.0</v>
      </c>
      <c r="C577" s="4" t="s">
        <v>11</v>
      </c>
      <c r="D577" s="6" t="s">
        <v>11</v>
      </c>
      <c r="E577" s="5">
        <v>6.0</v>
      </c>
      <c r="F577" s="4" t="s">
        <v>569</v>
      </c>
      <c r="G577" s="4" t="s">
        <v>41</v>
      </c>
      <c r="H577" s="4" t="s">
        <v>762</v>
      </c>
      <c r="I577" s="7"/>
      <c r="J577" s="7"/>
      <c r="K577" s="7"/>
    </row>
    <row r="578" ht="15.75" customHeight="1">
      <c r="A578" s="4" t="s">
        <v>1454</v>
      </c>
      <c r="B578" s="5">
        <v>412000.0</v>
      </c>
      <c r="C578" s="4" t="s">
        <v>1455</v>
      </c>
      <c r="D578" s="6">
        <v>-0.76</v>
      </c>
      <c r="E578" s="5">
        <v>11.0</v>
      </c>
      <c r="F578" s="4" t="s">
        <v>569</v>
      </c>
      <c r="G578" s="4" t="s">
        <v>41</v>
      </c>
      <c r="H578" s="4" t="s">
        <v>1456</v>
      </c>
      <c r="I578" s="7"/>
      <c r="J578" s="7"/>
      <c r="K578" s="7"/>
    </row>
    <row r="579" ht="15.75" customHeight="1">
      <c r="A579" s="4" t="s">
        <v>910</v>
      </c>
      <c r="B579" s="5">
        <v>423200.0</v>
      </c>
      <c r="C579" s="4" t="s">
        <v>784</v>
      </c>
      <c r="D579" s="6">
        <v>-0.1</v>
      </c>
      <c r="E579" s="5">
        <v>148.0</v>
      </c>
      <c r="F579" s="4" t="s">
        <v>324</v>
      </c>
      <c r="G579" s="4" t="s">
        <v>147</v>
      </c>
      <c r="H579" s="4" t="s">
        <v>911</v>
      </c>
      <c r="I579" s="7"/>
      <c r="J579" s="7"/>
      <c r="K579" s="7"/>
    </row>
    <row r="580" ht="15.75" customHeight="1">
      <c r="A580" s="4" t="s">
        <v>763</v>
      </c>
      <c r="B580" s="5">
        <v>425500.0</v>
      </c>
      <c r="C580" s="4" t="s">
        <v>11</v>
      </c>
      <c r="D580" s="6" t="s">
        <v>11</v>
      </c>
      <c r="E580" s="5">
        <v>2.0</v>
      </c>
      <c r="F580" s="4" t="s">
        <v>569</v>
      </c>
      <c r="G580" s="4" t="s">
        <v>41</v>
      </c>
      <c r="H580" s="4" t="s">
        <v>764</v>
      </c>
      <c r="I580" s="7"/>
      <c r="J580" s="7"/>
      <c r="K580" s="7"/>
    </row>
    <row r="581" ht="15.75" customHeight="1">
      <c r="A581" s="4" t="s">
        <v>559</v>
      </c>
      <c r="B581" s="5">
        <v>431910.0</v>
      </c>
      <c r="C581" s="4" t="s">
        <v>11</v>
      </c>
      <c r="D581" s="6" t="s">
        <v>11</v>
      </c>
      <c r="E581" s="5">
        <v>14.0</v>
      </c>
      <c r="F581" s="4" t="s">
        <v>476</v>
      </c>
      <c r="G581" s="4" t="s">
        <v>12</v>
      </c>
      <c r="H581" s="4" t="s">
        <v>560</v>
      </c>
      <c r="I581" s="7"/>
      <c r="J581" s="7"/>
      <c r="K581" s="7"/>
    </row>
    <row r="582" ht="15.75" customHeight="1">
      <c r="A582" s="4" t="s">
        <v>765</v>
      </c>
      <c r="B582" s="5">
        <v>435000.0</v>
      </c>
      <c r="C582" s="4" t="s">
        <v>11</v>
      </c>
      <c r="D582" s="6" t="s">
        <v>11</v>
      </c>
      <c r="E582" s="5">
        <v>7.0</v>
      </c>
      <c r="F582" s="4" t="s">
        <v>569</v>
      </c>
      <c r="G582" s="4" t="s">
        <v>25</v>
      </c>
      <c r="H582" s="4" t="s">
        <v>766</v>
      </c>
      <c r="I582" s="7"/>
      <c r="J582" s="7"/>
      <c r="K582" s="7"/>
    </row>
    <row r="583" ht="15.75" customHeight="1">
      <c r="A583" s="4" t="s">
        <v>998</v>
      </c>
      <c r="B583" s="5">
        <v>438900.0</v>
      </c>
      <c r="C583" s="4" t="s">
        <v>999</v>
      </c>
      <c r="D583" s="6">
        <v>-0.27</v>
      </c>
      <c r="E583" s="5">
        <v>547.0</v>
      </c>
      <c r="F583" s="4" t="s">
        <v>198</v>
      </c>
      <c r="G583" s="4" t="s">
        <v>12</v>
      </c>
      <c r="H583" s="4" t="s">
        <v>1000</v>
      </c>
      <c r="I583" s="7"/>
      <c r="J583" s="7"/>
      <c r="K583" s="7"/>
    </row>
    <row r="584" ht="15.75" customHeight="1">
      <c r="A584" s="4" t="s">
        <v>767</v>
      </c>
      <c r="B584" s="5">
        <v>442200.0</v>
      </c>
      <c r="C584" s="4" t="s">
        <v>11</v>
      </c>
      <c r="D584" s="6" t="s">
        <v>11</v>
      </c>
      <c r="E584" s="5">
        <v>81.0</v>
      </c>
      <c r="F584" s="4" t="s">
        <v>569</v>
      </c>
      <c r="G584" s="4" t="s">
        <v>18</v>
      </c>
      <c r="H584" s="4" t="s">
        <v>768</v>
      </c>
      <c r="I584" s="7"/>
      <c r="J584" s="7"/>
      <c r="K584" s="7"/>
    </row>
    <row r="585" ht="15.75" customHeight="1">
      <c r="A585" s="4" t="s">
        <v>837</v>
      </c>
      <c r="B585" s="5">
        <v>442200.0</v>
      </c>
      <c r="C585" s="4" t="s">
        <v>838</v>
      </c>
      <c r="D585" s="6">
        <v>-0.01</v>
      </c>
      <c r="E585" s="5">
        <v>3.0</v>
      </c>
      <c r="F585" s="4" t="s">
        <v>569</v>
      </c>
      <c r="G585" s="4" t="s">
        <v>41</v>
      </c>
      <c r="H585" s="4" t="s">
        <v>839</v>
      </c>
      <c r="I585" s="7"/>
      <c r="J585" s="7"/>
      <c r="K585" s="7"/>
    </row>
    <row r="586" ht="15.75" customHeight="1">
      <c r="A586" s="4" t="s">
        <v>1135</v>
      </c>
      <c r="B586" s="5">
        <v>458180.0</v>
      </c>
      <c r="C586" s="4" t="s">
        <v>1136</v>
      </c>
      <c r="D586" s="6">
        <v>-0.41</v>
      </c>
      <c r="E586" s="5">
        <v>10000.0</v>
      </c>
      <c r="F586" s="4" t="s">
        <v>198</v>
      </c>
      <c r="G586" s="4" t="s">
        <v>66</v>
      </c>
      <c r="H586" s="4" t="s">
        <v>1137</v>
      </c>
      <c r="I586" s="7"/>
      <c r="J586" s="7"/>
      <c r="K586" s="7"/>
    </row>
    <row r="587" ht="15.75" customHeight="1">
      <c r="A587" s="4" t="s">
        <v>1135</v>
      </c>
      <c r="B587" s="5">
        <v>460000.0</v>
      </c>
      <c r="C587" s="4" t="s">
        <v>1136</v>
      </c>
      <c r="D587" s="6">
        <v>-0.41</v>
      </c>
      <c r="E587" s="5">
        <v>10000.0</v>
      </c>
      <c r="F587" s="4" t="s">
        <v>198</v>
      </c>
      <c r="G587" s="4" t="s">
        <v>66</v>
      </c>
      <c r="H587" s="4" t="s">
        <v>1138</v>
      </c>
      <c r="I587" s="7"/>
      <c r="J587" s="7"/>
      <c r="K587" s="7"/>
    </row>
    <row r="588" ht="15.75" customHeight="1">
      <c r="A588" s="4" t="s">
        <v>769</v>
      </c>
      <c r="B588" s="5">
        <v>469000.0</v>
      </c>
      <c r="C588" s="4" t="s">
        <v>11</v>
      </c>
      <c r="D588" s="6" t="s">
        <v>11</v>
      </c>
      <c r="E588" s="5">
        <v>5.0</v>
      </c>
      <c r="F588" s="4" t="s">
        <v>569</v>
      </c>
      <c r="G588" s="4" t="s">
        <v>41</v>
      </c>
      <c r="H588" s="4" t="s">
        <v>770</v>
      </c>
      <c r="I588" s="7"/>
      <c r="J588" s="7"/>
      <c r="K588" s="7"/>
    </row>
    <row r="589" ht="15.75" customHeight="1">
      <c r="A589" s="4" t="s">
        <v>473</v>
      </c>
      <c r="B589" s="5">
        <v>470300.0</v>
      </c>
      <c r="C589" s="4" t="s">
        <v>11</v>
      </c>
      <c r="D589" s="6" t="s">
        <v>11</v>
      </c>
      <c r="E589" s="6" t="s">
        <v>11</v>
      </c>
      <c r="F589" s="4" t="s">
        <v>439</v>
      </c>
      <c r="G589" s="4" t="s">
        <v>12</v>
      </c>
      <c r="H589" s="4" t="s">
        <v>474</v>
      </c>
      <c r="I589" s="7"/>
      <c r="J589" s="7"/>
      <c r="K589" s="7"/>
    </row>
    <row r="590" ht="15.75" customHeight="1">
      <c r="A590" s="4" t="s">
        <v>107</v>
      </c>
      <c r="B590" s="5">
        <v>475000.0</v>
      </c>
      <c r="C590" s="4" t="s">
        <v>11</v>
      </c>
      <c r="D590" s="6" t="s">
        <v>11</v>
      </c>
      <c r="E590" s="5">
        <v>368.0</v>
      </c>
      <c r="F590" s="4" t="s">
        <v>101</v>
      </c>
      <c r="G590" s="4" t="s">
        <v>66</v>
      </c>
      <c r="H590" s="4" t="s">
        <v>108</v>
      </c>
      <c r="I590" s="7"/>
      <c r="J590" s="8" t="s">
        <v>109</v>
      </c>
      <c r="K590" s="7">
        <v>1.0</v>
      </c>
    </row>
    <row r="591" ht="15.75" customHeight="1">
      <c r="A591" s="4" t="s">
        <v>194</v>
      </c>
      <c r="B591" s="5">
        <v>475000.0</v>
      </c>
      <c r="C591" s="4" t="s">
        <v>11</v>
      </c>
      <c r="D591" s="6" t="s">
        <v>11</v>
      </c>
      <c r="E591" s="5">
        <v>12.0</v>
      </c>
      <c r="F591" s="4" t="s">
        <v>157</v>
      </c>
      <c r="G591" s="4" t="s">
        <v>37</v>
      </c>
      <c r="H591" s="4" t="s">
        <v>195</v>
      </c>
      <c r="I591" s="7"/>
      <c r="J591" s="7"/>
      <c r="K591" s="7"/>
    </row>
    <row r="592" ht="15.75" customHeight="1">
      <c r="A592" s="4" t="s">
        <v>110</v>
      </c>
      <c r="B592" s="5">
        <v>475500.0</v>
      </c>
      <c r="C592" s="4" t="s">
        <v>11</v>
      </c>
      <c r="D592" s="6" t="s">
        <v>11</v>
      </c>
      <c r="E592" s="5">
        <v>17.0</v>
      </c>
      <c r="F592" s="4" t="s">
        <v>101</v>
      </c>
      <c r="G592" s="4" t="s">
        <v>12</v>
      </c>
      <c r="H592" s="4" t="s">
        <v>111</v>
      </c>
      <c r="I592" s="7"/>
      <c r="J592" s="8" t="s">
        <v>112</v>
      </c>
      <c r="K592" s="7">
        <v>1.0</v>
      </c>
    </row>
    <row r="593" ht="15.75" customHeight="1">
      <c r="A593" s="4" t="s">
        <v>946</v>
      </c>
      <c r="B593" s="5">
        <v>480000.0</v>
      </c>
      <c r="C593" s="4" t="s">
        <v>947</v>
      </c>
      <c r="D593" s="6">
        <v>-0.21</v>
      </c>
      <c r="E593" s="5">
        <v>2000.0</v>
      </c>
      <c r="F593" s="4" t="s">
        <v>114</v>
      </c>
      <c r="G593" s="4" t="s">
        <v>41</v>
      </c>
      <c r="H593" s="4" t="s">
        <v>948</v>
      </c>
      <c r="I593" s="7"/>
      <c r="J593" s="7"/>
      <c r="K593" s="7"/>
    </row>
    <row r="594" ht="15.75" customHeight="1">
      <c r="A594" s="4" t="s">
        <v>1365</v>
      </c>
      <c r="B594" s="5">
        <v>485000.0</v>
      </c>
      <c r="C594" s="4" t="s">
        <v>1079</v>
      </c>
      <c r="D594" s="6">
        <v>-0.55</v>
      </c>
      <c r="E594" s="5">
        <v>2000.0</v>
      </c>
      <c r="F594" s="4" t="s">
        <v>157</v>
      </c>
      <c r="G594" s="4" t="s">
        <v>66</v>
      </c>
      <c r="H594" s="4" t="s">
        <v>1366</v>
      </c>
      <c r="I594" s="7"/>
      <c r="J594" s="7"/>
      <c r="K594" s="7"/>
    </row>
    <row r="595" ht="15.75" customHeight="1">
      <c r="A595" s="4" t="s">
        <v>771</v>
      </c>
      <c r="B595" s="5">
        <v>494900.0</v>
      </c>
      <c r="C595" s="4" t="s">
        <v>11</v>
      </c>
      <c r="D595" s="6" t="s">
        <v>11</v>
      </c>
      <c r="E595" s="5">
        <v>17.0</v>
      </c>
      <c r="F595" s="4" t="s">
        <v>569</v>
      </c>
      <c r="G595" s="4" t="s">
        <v>66</v>
      </c>
      <c r="H595" s="4" t="s">
        <v>772</v>
      </c>
      <c r="I595" s="7"/>
      <c r="J595" s="7"/>
      <c r="K595" s="7"/>
    </row>
    <row r="596" ht="15.75" customHeight="1">
      <c r="A596" s="4" t="s">
        <v>773</v>
      </c>
      <c r="B596" s="5">
        <v>515000.0</v>
      </c>
      <c r="C596" s="4" t="s">
        <v>11</v>
      </c>
      <c r="D596" s="6" t="s">
        <v>11</v>
      </c>
      <c r="E596" s="5">
        <v>106.0</v>
      </c>
      <c r="F596" s="4" t="s">
        <v>569</v>
      </c>
      <c r="G596" s="4" t="s">
        <v>64</v>
      </c>
      <c r="H596" s="4" t="s">
        <v>774</v>
      </c>
      <c r="I596" s="7"/>
      <c r="J596" s="7"/>
      <c r="K596" s="7"/>
    </row>
    <row r="597" ht="15.75" customHeight="1">
      <c r="A597" s="4" t="s">
        <v>1149</v>
      </c>
      <c r="B597" s="5">
        <v>515000.0</v>
      </c>
      <c r="C597" s="4" t="s">
        <v>1150</v>
      </c>
      <c r="D597" s="6">
        <v>-0.42</v>
      </c>
      <c r="E597" s="5">
        <v>1000.0</v>
      </c>
      <c r="F597" s="4" t="s">
        <v>157</v>
      </c>
      <c r="G597" s="4" t="s">
        <v>66</v>
      </c>
      <c r="H597" s="4" t="s">
        <v>1151</v>
      </c>
      <c r="I597" s="7"/>
      <c r="J597" s="7"/>
      <c r="K597" s="7"/>
    </row>
    <row r="598" ht="15.75" customHeight="1">
      <c r="A598" s="4" t="s">
        <v>561</v>
      </c>
      <c r="B598" s="5">
        <v>528000.0</v>
      </c>
      <c r="C598" s="4" t="s">
        <v>11</v>
      </c>
      <c r="D598" s="6" t="s">
        <v>11</v>
      </c>
      <c r="E598" s="5">
        <v>166.0</v>
      </c>
      <c r="F598" s="4" t="s">
        <v>476</v>
      </c>
      <c r="G598" s="4" t="s">
        <v>115</v>
      </c>
      <c r="H598" s="4" t="s">
        <v>562</v>
      </c>
      <c r="I598" s="7"/>
      <c r="J598" s="7"/>
      <c r="K598" s="7"/>
    </row>
    <row r="599" ht="15.75" customHeight="1">
      <c r="A599" s="4" t="s">
        <v>563</v>
      </c>
      <c r="B599" s="5">
        <v>535700.0</v>
      </c>
      <c r="C599" s="4" t="s">
        <v>11</v>
      </c>
      <c r="D599" s="6" t="s">
        <v>11</v>
      </c>
      <c r="E599" s="5">
        <v>52.0</v>
      </c>
      <c r="F599" s="4" t="s">
        <v>476</v>
      </c>
      <c r="G599" s="4" t="s">
        <v>12</v>
      </c>
      <c r="H599" s="4" t="s">
        <v>564</v>
      </c>
      <c r="I599" s="7"/>
      <c r="J599" s="7"/>
      <c r="K599" s="7"/>
    </row>
    <row r="600" ht="15.75" customHeight="1">
      <c r="A600" s="4" t="s">
        <v>300</v>
      </c>
      <c r="B600" s="5">
        <v>540000.0</v>
      </c>
      <c r="C600" s="4" t="s">
        <v>11</v>
      </c>
      <c r="D600" s="6" t="s">
        <v>11</v>
      </c>
      <c r="E600" s="5">
        <v>477.0</v>
      </c>
      <c r="F600" s="4" t="s">
        <v>198</v>
      </c>
      <c r="G600" s="4" t="s">
        <v>115</v>
      </c>
      <c r="H600" s="4" t="s">
        <v>301</v>
      </c>
      <c r="I600" s="7"/>
      <c r="J600" s="7"/>
      <c r="K600" s="7"/>
    </row>
    <row r="601" ht="15.75" customHeight="1">
      <c r="A601" s="4" t="s">
        <v>1006</v>
      </c>
      <c r="B601" s="5">
        <v>543200.0</v>
      </c>
      <c r="C601" s="4" t="s">
        <v>1007</v>
      </c>
      <c r="D601" s="6">
        <v>-0.28</v>
      </c>
      <c r="E601" s="5">
        <v>20.0</v>
      </c>
      <c r="F601" s="4" t="s">
        <v>198</v>
      </c>
      <c r="G601" s="4" t="s">
        <v>41</v>
      </c>
      <c r="H601" s="4" t="s">
        <v>1008</v>
      </c>
      <c r="I601" s="7"/>
      <c r="J601" s="7"/>
      <c r="K601" s="7"/>
    </row>
    <row r="602" ht="15.75" customHeight="1">
      <c r="A602" s="4" t="s">
        <v>434</v>
      </c>
      <c r="B602" s="5">
        <v>550000.0</v>
      </c>
      <c r="C602" s="4" t="s">
        <v>11</v>
      </c>
      <c r="D602" s="6" t="s">
        <v>11</v>
      </c>
      <c r="E602" s="5">
        <v>205.0</v>
      </c>
      <c r="F602" s="4" t="s">
        <v>324</v>
      </c>
      <c r="G602" s="4" t="s">
        <v>83</v>
      </c>
      <c r="H602" s="4" t="s">
        <v>435</v>
      </c>
      <c r="I602" s="7"/>
      <c r="J602" s="7"/>
      <c r="K602" s="7"/>
    </row>
    <row r="603" ht="15.75" customHeight="1">
      <c r="A603" s="4" t="s">
        <v>775</v>
      </c>
      <c r="B603" s="5">
        <v>550000.0</v>
      </c>
      <c r="C603" s="4" t="s">
        <v>11</v>
      </c>
      <c r="D603" s="6" t="s">
        <v>11</v>
      </c>
      <c r="E603" s="5">
        <v>95.0</v>
      </c>
      <c r="F603" s="4" t="s">
        <v>569</v>
      </c>
      <c r="G603" s="4" t="s">
        <v>16</v>
      </c>
      <c r="H603" s="4" t="s">
        <v>776</v>
      </c>
      <c r="I603" s="7"/>
      <c r="J603" s="7"/>
      <c r="K603" s="7"/>
    </row>
    <row r="604" ht="15.75" customHeight="1">
      <c r="A604" s="4" t="s">
        <v>840</v>
      </c>
      <c r="B604" s="5">
        <v>554000.0</v>
      </c>
      <c r="C604" s="4" t="s">
        <v>841</v>
      </c>
      <c r="D604" s="6">
        <v>-0.01</v>
      </c>
      <c r="E604" s="5">
        <v>2.0</v>
      </c>
      <c r="F604" s="4" t="s">
        <v>569</v>
      </c>
      <c r="G604" s="4" t="s">
        <v>41</v>
      </c>
      <c r="H604" s="4" t="s">
        <v>842</v>
      </c>
      <c r="I604" s="7"/>
      <c r="J604" s="7"/>
      <c r="K604" s="7"/>
    </row>
    <row r="605" ht="15.75" customHeight="1">
      <c r="A605" s="4" t="s">
        <v>1142</v>
      </c>
      <c r="B605" s="5">
        <v>556115.0</v>
      </c>
      <c r="C605" s="4" t="s">
        <v>1143</v>
      </c>
      <c r="D605" s="6">
        <v>-0.42</v>
      </c>
      <c r="E605" s="5">
        <v>109.0</v>
      </c>
      <c r="F605" s="4" t="s">
        <v>75</v>
      </c>
      <c r="G605" s="4" t="s">
        <v>41</v>
      </c>
      <c r="H605" s="4" t="s">
        <v>1144</v>
      </c>
      <c r="I605" s="7"/>
      <c r="J605" s="7"/>
      <c r="K605" s="7"/>
    </row>
    <row r="606" ht="15.75" customHeight="1">
      <c r="A606" s="4" t="s">
        <v>1250</v>
      </c>
      <c r="B606" s="5">
        <v>572000.0</v>
      </c>
      <c r="C606" s="4" t="s">
        <v>1251</v>
      </c>
      <c r="D606" s="6">
        <v>-0.47</v>
      </c>
      <c r="E606" s="5">
        <v>1000.0</v>
      </c>
      <c r="F606" s="4" t="s">
        <v>157</v>
      </c>
      <c r="G606" s="4" t="s">
        <v>41</v>
      </c>
      <c r="H606" s="4" t="s">
        <v>1252</v>
      </c>
      <c r="I606" s="7"/>
      <c r="J606" s="7"/>
      <c r="K606" s="7"/>
    </row>
    <row r="607" ht="15.75" customHeight="1">
      <c r="A607" s="4" t="s">
        <v>940</v>
      </c>
      <c r="B607" s="5">
        <v>600000.0</v>
      </c>
      <c r="C607" s="4" t="s">
        <v>941</v>
      </c>
      <c r="D607" s="6">
        <v>-0.18</v>
      </c>
      <c r="E607" s="5">
        <v>571.0</v>
      </c>
      <c r="F607" s="4" t="s">
        <v>157</v>
      </c>
      <c r="G607" s="4" t="s">
        <v>41</v>
      </c>
      <c r="H607" s="4" t="s">
        <v>942</v>
      </c>
      <c r="I607" s="7"/>
      <c r="J607" s="7"/>
      <c r="K607" s="7"/>
    </row>
    <row r="608" ht="15.75" customHeight="1">
      <c r="A608" s="4" t="s">
        <v>965</v>
      </c>
      <c r="B608" s="5">
        <v>601000.0</v>
      </c>
      <c r="C608" s="4" t="s">
        <v>966</v>
      </c>
      <c r="D608" s="6">
        <v>-0.22</v>
      </c>
      <c r="E608" s="5">
        <v>12.0</v>
      </c>
      <c r="F608" s="4" t="s">
        <v>569</v>
      </c>
      <c r="G608" s="4" t="s">
        <v>41</v>
      </c>
      <c r="H608" s="4" t="s">
        <v>967</v>
      </c>
      <c r="I608" s="7"/>
      <c r="J608" s="7"/>
      <c r="K608" s="7"/>
    </row>
    <row r="609" ht="15.75" customHeight="1">
      <c r="A609" s="4" t="s">
        <v>1311</v>
      </c>
      <c r="B609" s="5">
        <v>709998.0</v>
      </c>
      <c r="C609" s="4" t="s">
        <v>1251</v>
      </c>
      <c r="D609" s="6">
        <v>-0.5</v>
      </c>
      <c r="E609" s="5">
        <v>72.0</v>
      </c>
      <c r="F609" s="4" t="s">
        <v>324</v>
      </c>
      <c r="G609" s="4" t="s">
        <v>66</v>
      </c>
      <c r="H609" s="4" t="s">
        <v>1312</v>
      </c>
      <c r="I609" s="7"/>
      <c r="J609" s="7"/>
      <c r="K609" s="7"/>
    </row>
    <row r="610" ht="15.75" customHeight="1">
      <c r="A610" s="4" t="s">
        <v>34</v>
      </c>
      <c r="B610" s="5">
        <v>755850.0</v>
      </c>
      <c r="C610" s="4" t="s">
        <v>11</v>
      </c>
      <c r="D610" s="6" t="s">
        <v>11</v>
      </c>
      <c r="E610" s="6" t="s">
        <v>11</v>
      </c>
      <c r="F610" s="4" t="s">
        <v>11</v>
      </c>
      <c r="G610" s="4" t="s">
        <v>35</v>
      </c>
      <c r="H610" s="4" t="s">
        <v>36</v>
      </c>
      <c r="I610" s="7"/>
      <c r="J610" s="8" t="s">
        <v>37</v>
      </c>
      <c r="K610" s="7">
        <v>23.0</v>
      </c>
    </row>
    <row r="611" ht="15.75" customHeight="1">
      <c r="A611" s="4" t="s">
        <v>436</v>
      </c>
      <c r="B611" s="5">
        <v>798000.0</v>
      </c>
      <c r="C611" s="4" t="s">
        <v>11</v>
      </c>
      <c r="D611" s="6" t="s">
        <v>11</v>
      </c>
      <c r="E611" s="5">
        <v>137.0</v>
      </c>
      <c r="F611" s="4" t="s">
        <v>324</v>
      </c>
      <c r="G611" s="4" t="s">
        <v>35</v>
      </c>
      <c r="H611" s="4" t="s">
        <v>437</v>
      </c>
      <c r="I611" s="7"/>
      <c r="J611" s="7"/>
      <c r="K611" s="7"/>
    </row>
    <row r="612" ht="15.75" customHeight="1">
      <c r="A612" s="4" t="s">
        <v>777</v>
      </c>
      <c r="B612" s="5">
        <v>806000.0</v>
      </c>
      <c r="C612" s="4" t="s">
        <v>11</v>
      </c>
      <c r="D612" s="6" t="s">
        <v>11</v>
      </c>
      <c r="E612" s="5">
        <v>2.0</v>
      </c>
      <c r="F612" s="4" t="s">
        <v>569</v>
      </c>
      <c r="G612" s="4" t="s">
        <v>112</v>
      </c>
      <c r="H612" s="4" t="s">
        <v>778</v>
      </c>
      <c r="I612" s="7"/>
      <c r="J612" s="7"/>
      <c r="K612" s="7"/>
    </row>
    <row r="613" ht="15.75" customHeight="1">
      <c r="A613" s="4" t="s">
        <v>196</v>
      </c>
      <c r="B613" s="5">
        <v>858000.0</v>
      </c>
      <c r="C613" s="4" t="s">
        <v>11</v>
      </c>
      <c r="D613" s="6" t="s">
        <v>11</v>
      </c>
      <c r="E613" s="5">
        <v>47.0</v>
      </c>
      <c r="F613" s="4" t="s">
        <v>157</v>
      </c>
      <c r="G613" s="4" t="s">
        <v>12</v>
      </c>
      <c r="H613" s="4" t="s">
        <v>139</v>
      </c>
      <c r="I613" s="7"/>
      <c r="J613" s="7"/>
      <c r="K613" s="7"/>
    </row>
    <row r="614" ht="15.75" customHeight="1">
      <c r="A614" s="4" t="s">
        <v>1416</v>
      </c>
      <c r="B614" s="5">
        <v>980000.0</v>
      </c>
      <c r="C614" s="4" t="s">
        <v>1417</v>
      </c>
      <c r="D614" s="6">
        <v>-0.61</v>
      </c>
      <c r="E614" s="5">
        <v>227.0</v>
      </c>
      <c r="F614" s="4" t="s">
        <v>198</v>
      </c>
      <c r="G614" s="4" t="s">
        <v>66</v>
      </c>
      <c r="H614" s="4" t="s">
        <v>1418</v>
      </c>
      <c r="I614" s="7"/>
      <c r="J614" s="7"/>
      <c r="K614" s="7"/>
    </row>
    <row r="615" ht="15.75" customHeight="1">
      <c r="A615" s="4" t="s">
        <v>779</v>
      </c>
      <c r="B615" s="5">
        <v>1049950.0</v>
      </c>
      <c r="C615" s="4" t="s">
        <v>11</v>
      </c>
      <c r="D615" s="6" t="s">
        <v>11</v>
      </c>
      <c r="E615" s="5">
        <v>231.0</v>
      </c>
      <c r="F615" s="4" t="s">
        <v>569</v>
      </c>
      <c r="G615" s="4" t="s">
        <v>18</v>
      </c>
      <c r="H615" s="4" t="s">
        <v>143</v>
      </c>
      <c r="I615" s="7"/>
      <c r="J615" s="7"/>
      <c r="K615" s="7"/>
    </row>
    <row r="616" ht="15.75" customHeight="1">
      <c r="B616" s="10"/>
      <c r="D616" s="10"/>
      <c r="E616" s="10"/>
      <c r="I616" s="11"/>
      <c r="J616" s="11"/>
      <c r="K616" s="11"/>
    </row>
    <row r="617" ht="15.75" customHeight="1">
      <c r="B617" s="10"/>
      <c r="D617" s="10"/>
      <c r="E617" s="10"/>
      <c r="I617" s="11"/>
      <c r="J617" s="11"/>
      <c r="K617" s="11"/>
    </row>
    <row r="618" ht="15.75" customHeight="1">
      <c r="B618" s="10"/>
      <c r="D618" s="10"/>
      <c r="E618" s="10"/>
      <c r="I618" s="11"/>
      <c r="J618" s="11"/>
      <c r="K618" s="11"/>
    </row>
    <row r="619" ht="15.75" customHeight="1">
      <c r="A619" s="12" t="s">
        <v>1</v>
      </c>
      <c r="B619" s="10"/>
      <c r="C619" s="12" t="s">
        <v>1457</v>
      </c>
      <c r="D619" s="10"/>
      <c r="E619" s="12" t="s">
        <v>5</v>
      </c>
      <c r="F619" s="12" t="s">
        <v>1457</v>
      </c>
      <c r="H619" s="12" t="s">
        <v>3</v>
      </c>
      <c r="I619" s="13" t="s">
        <v>1458</v>
      </c>
      <c r="J619" s="18"/>
      <c r="K619" s="18"/>
    </row>
    <row r="620" ht="15.75" customHeight="1">
      <c r="A620" s="14">
        <v>50000.0</v>
      </c>
      <c r="B620" s="10"/>
      <c r="C620" s="15">
        <f>sum(E2:E40)</f>
        <v>12916</v>
      </c>
      <c r="D620" s="10"/>
      <c r="E620" s="10"/>
      <c r="F620" s="15">
        <f>sum(E2:E9)</f>
        <v>6134</v>
      </c>
      <c r="H620" s="12" t="s">
        <v>1459</v>
      </c>
      <c r="I620" s="11">
        <f>sum(E2:E357)</f>
        <v>228067</v>
      </c>
      <c r="J620" s="11"/>
      <c r="K620" s="11"/>
    </row>
    <row r="621" ht="15.75" customHeight="1">
      <c r="A621" s="16">
        <f t="shared" ref="A621:A637" si="1">(A620+50000)</f>
        <v>100000</v>
      </c>
      <c r="B621" s="10"/>
      <c r="C621" s="15">
        <f>sum(E41:E172)</f>
        <v>66886</v>
      </c>
      <c r="D621" s="10"/>
      <c r="E621" s="12" t="s">
        <v>1460</v>
      </c>
      <c r="F621" s="15">
        <f t="shared" ref="F621:F625" si="2">sum(E10)</f>
        <v>238</v>
      </c>
      <c r="H621" s="12" t="s">
        <v>1461</v>
      </c>
      <c r="I621" s="11">
        <f>sum(E358:E540)</f>
        <v>35634</v>
      </c>
      <c r="J621" s="11"/>
      <c r="K621" s="11"/>
    </row>
    <row r="622" ht="15.75" customHeight="1">
      <c r="A622" s="16">
        <f t="shared" si="1"/>
        <v>150000</v>
      </c>
      <c r="B622" s="10"/>
      <c r="C622" s="15">
        <f>sum(E173:E352)</f>
        <v>148085</v>
      </c>
      <c r="D622" s="10"/>
      <c r="E622" s="12" t="s">
        <v>1462</v>
      </c>
      <c r="F622" s="15">
        <f t="shared" si="2"/>
        <v>39</v>
      </c>
      <c r="H622" s="12" t="s">
        <v>1463</v>
      </c>
      <c r="I622" s="11">
        <f>SUM(E541:E615)</f>
        <v>39214</v>
      </c>
      <c r="J622" s="11"/>
      <c r="K622" s="11"/>
    </row>
    <row r="623" ht="15.75" customHeight="1">
      <c r="A623" s="16">
        <f t="shared" si="1"/>
        <v>200000</v>
      </c>
      <c r="B623" s="10"/>
      <c r="C623" s="15">
        <f>sum(E353:E440)</f>
        <v>14910</v>
      </c>
      <c r="D623" s="10"/>
      <c r="E623" s="12" t="s">
        <v>1464</v>
      </c>
      <c r="F623" s="15">
        <f t="shared" si="2"/>
        <v>178</v>
      </c>
      <c r="I623" s="11"/>
      <c r="J623" s="11"/>
      <c r="K623" s="11"/>
    </row>
    <row r="624" ht="15.75" customHeight="1">
      <c r="A624" s="16">
        <f t="shared" si="1"/>
        <v>250000</v>
      </c>
      <c r="B624" s="10"/>
      <c r="C624" s="15">
        <f>sum(E441:E489)</f>
        <v>8780</v>
      </c>
      <c r="D624" s="10"/>
      <c r="E624" s="12" t="s">
        <v>1465</v>
      </c>
      <c r="F624" s="15">
        <f t="shared" si="2"/>
        <v>64</v>
      </c>
      <c r="I624" s="11"/>
      <c r="J624" s="11"/>
      <c r="K624" s="11"/>
    </row>
    <row r="625" ht="15.75" customHeight="1">
      <c r="A625" s="16">
        <f t="shared" si="1"/>
        <v>300000</v>
      </c>
      <c r="B625" s="10"/>
      <c r="C625" s="15">
        <f>sum(E490:E527)</f>
        <v>7838</v>
      </c>
      <c r="D625" s="10"/>
      <c r="E625" s="12" t="s">
        <v>1466</v>
      </c>
      <c r="F625" s="15">
        <f t="shared" si="2"/>
        <v>22</v>
      </c>
      <c r="I625" s="11"/>
      <c r="J625" s="11"/>
      <c r="K625" s="11"/>
    </row>
    <row r="626" ht="15.75" customHeight="1">
      <c r="A626" s="16">
        <f t="shared" si="1"/>
        <v>350000</v>
      </c>
      <c r="B626" s="10"/>
      <c r="C626" s="15">
        <f>sum(E528:E553)</f>
        <v>10486</v>
      </c>
      <c r="D626" s="10"/>
      <c r="E626" s="12" t="s">
        <v>1467</v>
      </c>
      <c r="F626" s="15">
        <f>sum(E15:E18)</f>
        <v>1187</v>
      </c>
      <c r="I626" s="11"/>
      <c r="J626" s="11"/>
      <c r="K626" s="11"/>
    </row>
    <row r="627" ht="15.75" customHeight="1">
      <c r="A627" s="16">
        <f t="shared" si="1"/>
        <v>400000</v>
      </c>
      <c r="B627" s="10"/>
      <c r="C627" s="15">
        <f>sum(E554:E572)</f>
        <v>2848</v>
      </c>
      <c r="D627" s="10"/>
      <c r="E627" s="12" t="s">
        <v>1468</v>
      </c>
      <c r="F627" s="15">
        <f>sum(E19)</f>
        <v>66</v>
      </c>
      <c r="I627" s="11"/>
      <c r="J627" s="11"/>
      <c r="K627" s="11"/>
    </row>
    <row r="628" ht="15.75" customHeight="1">
      <c r="A628" s="16">
        <f t="shared" si="1"/>
        <v>450000</v>
      </c>
      <c r="B628" s="10"/>
      <c r="C628" s="15">
        <f>sum(E573:E585)</f>
        <v>1216</v>
      </c>
      <c r="D628" s="10"/>
      <c r="E628" s="12" t="s">
        <v>1469</v>
      </c>
      <c r="F628" s="15">
        <f>sum(E20:E24)</f>
        <v>2170</v>
      </c>
      <c r="I628" s="11"/>
      <c r="J628" s="11"/>
      <c r="K628" s="11"/>
    </row>
    <row r="629" ht="15.75" customHeight="1">
      <c r="A629" s="16">
        <f t="shared" si="1"/>
        <v>500000</v>
      </c>
      <c r="B629" s="10"/>
      <c r="C629" s="15">
        <f>sum(E586:E595)</f>
        <v>24419</v>
      </c>
      <c r="D629" s="10"/>
      <c r="E629" s="12" t="s">
        <v>1470</v>
      </c>
      <c r="F629" s="15">
        <f>sum(E25:E28)</f>
        <v>335</v>
      </c>
      <c r="I629" s="11"/>
      <c r="J629" s="11"/>
      <c r="K629" s="11"/>
    </row>
    <row r="630" ht="15.75" customHeight="1">
      <c r="A630" s="16">
        <f t="shared" si="1"/>
        <v>550000</v>
      </c>
      <c r="B630" s="10"/>
      <c r="C630" s="15">
        <f>sum(E596:E603)</f>
        <v>2121</v>
      </c>
      <c r="D630" s="10"/>
      <c r="E630" s="12" t="s">
        <v>1471</v>
      </c>
      <c r="F630" s="15">
        <f>sum(E29:E33)</f>
        <v>933</v>
      </c>
      <c r="I630" s="11"/>
      <c r="J630" s="11"/>
      <c r="K630" s="11"/>
    </row>
    <row r="631" ht="15.75" customHeight="1">
      <c r="A631" s="16">
        <f t="shared" si="1"/>
        <v>600000</v>
      </c>
      <c r="B631" s="10"/>
      <c r="C631" s="15">
        <f>sum(E604:E607)</f>
        <v>1682</v>
      </c>
      <c r="D631" s="10"/>
      <c r="E631" s="12" t="s">
        <v>1472</v>
      </c>
      <c r="F631" s="15">
        <f>sum(E34:E48)</f>
        <v>5240</v>
      </c>
      <c r="I631" s="11"/>
      <c r="J631" s="11"/>
      <c r="K631" s="11"/>
    </row>
    <row r="632" ht="15.75" customHeight="1">
      <c r="A632" s="16">
        <f t="shared" si="1"/>
        <v>650000</v>
      </c>
      <c r="B632" s="10"/>
      <c r="C632" s="15">
        <f>sum(E608)</f>
        <v>12</v>
      </c>
      <c r="D632" s="10"/>
      <c r="E632" s="12" t="s">
        <v>1473</v>
      </c>
      <c r="F632" s="15">
        <f>sum(E49:E63)</f>
        <v>4782</v>
      </c>
      <c r="I632" s="11"/>
      <c r="J632" s="11"/>
      <c r="K632" s="11"/>
    </row>
    <row r="633" ht="15.75" customHeight="1">
      <c r="A633" s="16">
        <f t="shared" si="1"/>
        <v>700000</v>
      </c>
      <c r="B633" s="10"/>
      <c r="C633" s="15">
        <f>sum(E609:E610)</f>
        <v>72</v>
      </c>
      <c r="D633" s="10"/>
      <c r="E633" s="12" t="s">
        <v>1474</v>
      </c>
      <c r="F633" s="15">
        <f>sum(E64:E102)</f>
        <v>17813</v>
      </c>
      <c r="I633" s="11"/>
      <c r="J633" s="11"/>
      <c r="K633" s="11"/>
    </row>
    <row r="634" ht="15.75" customHeight="1">
      <c r="A634" s="16">
        <f t="shared" si="1"/>
        <v>750000</v>
      </c>
      <c r="B634" s="10"/>
      <c r="C634" s="15">
        <f t="shared" ref="C634:C638" si="3">sum(E611)</f>
        <v>137</v>
      </c>
      <c r="D634" s="10"/>
      <c r="E634" s="12" t="s">
        <v>1475</v>
      </c>
      <c r="F634" s="15">
        <f>sum(E103:E157)</f>
        <v>38823</v>
      </c>
      <c r="I634" s="11"/>
      <c r="J634" s="11"/>
      <c r="K634" s="11"/>
    </row>
    <row r="635" ht="15.75" customHeight="1">
      <c r="A635" s="16">
        <f t="shared" si="1"/>
        <v>800000</v>
      </c>
      <c r="B635" s="10"/>
      <c r="C635" s="15">
        <f t="shared" si="3"/>
        <v>2</v>
      </c>
      <c r="D635" s="10"/>
      <c r="E635" s="12" t="s">
        <v>1476</v>
      </c>
      <c r="F635" s="15">
        <f>sum(E158:E282)</f>
        <v>104151</v>
      </c>
      <c r="I635" s="11"/>
      <c r="J635" s="11"/>
      <c r="K635" s="11"/>
    </row>
    <row r="636" ht="15.75" customHeight="1">
      <c r="A636" s="16">
        <f t="shared" si="1"/>
        <v>850000</v>
      </c>
      <c r="B636" s="10"/>
      <c r="C636" s="15">
        <f t="shared" si="3"/>
        <v>47</v>
      </c>
      <c r="D636" s="10"/>
      <c r="E636" s="12" t="s">
        <v>1477</v>
      </c>
      <c r="F636" s="15">
        <f>sum(E283:E419)</f>
        <v>53801</v>
      </c>
      <c r="I636" s="11"/>
      <c r="J636" s="11"/>
      <c r="K636" s="11"/>
    </row>
    <row r="637" ht="15.75" customHeight="1">
      <c r="A637" s="16">
        <f t="shared" si="1"/>
        <v>900000</v>
      </c>
      <c r="B637" s="10"/>
      <c r="C637" s="15">
        <f t="shared" si="3"/>
        <v>227</v>
      </c>
      <c r="D637" s="10"/>
      <c r="E637" s="12" t="s">
        <v>1478</v>
      </c>
      <c r="F637" s="15">
        <f>sum(E420:E476)</f>
        <v>13809</v>
      </c>
      <c r="I637" s="11"/>
      <c r="J637" s="11"/>
      <c r="K637" s="11"/>
    </row>
    <row r="638" ht="15.75" customHeight="1">
      <c r="A638" s="14">
        <v>1000000.0</v>
      </c>
      <c r="B638" s="10"/>
      <c r="C638" s="15">
        <f t="shared" si="3"/>
        <v>231</v>
      </c>
      <c r="D638" s="10"/>
      <c r="E638" s="12" t="s">
        <v>1479</v>
      </c>
      <c r="F638" s="15">
        <f>sum(E477:E615)</f>
        <v>53130</v>
      </c>
      <c r="I638" s="11"/>
      <c r="J638" s="11"/>
      <c r="K638" s="11"/>
    </row>
    <row r="639" ht="15.75" customHeight="1">
      <c r="B639" s="10"/>
      <c r="D639" s="10"/>
      <c r="E639" s="10"/>
      <c r="I639" s="11"/>
      <c r="J639" s="11"/>
      <c r="K639" s="11"/>
    </row>
    <row r="640" ht="15.75" customHeight="1">
      <c r="B640" s="10"/>
      <c r="D640" s="10"/>
      <c r="E640" s="10"/>
      <c r="I640" s="11"/>
      <c r="J640" s="11"/>
      <c r="K640" s="11"/>
    </row>
    <row r="641" ht="15.75" customHeight="1">
      <c r="B641" s="10"/>
      <c r="D641" s="10"/>
      <c r="E641" s="10"/>
      <c r="I641" s="11"/>
      <c r="J641" s="11"/>
      <c r="K641" s="11"/>
    </row>
    <row r="642" ht="15.75" customHeight="1">
      <c r="B642" s="10"/>
      <c r="D642" s="10"/>
      <c r="E642" s="10"/>
      <c r="I642" s="11"/>
      <c r="J642" s="11"/>
      <c r="K642" s="11"/>
    </row>
    <row r="643" ht="15.75" customHeight="1">
      <c r="B643" s="10"/>
      <c r="D643" s="10"/>
      <c r="E643" s="10"/>
      <c r="I643" s="11"/>
      <c r="J643" s="11"/>
      <c r="K643" s="11"/>
    </row>
    <row r="644" ht="15.75" customHeight="1">
      <c r="B644" s="10"/>
      <c r="D644" s="10"/>
      <c r="E644" s="10"/>
      <c r="I644" s="11"/>
      <c r="J644" s="11"/>
      <c r="K644" s="11"/>
    </row>
    <row r="645" ht="15.75" customHeight="1">
      <c r="B645" s="10"/>
      <c r="D645" s="10"/>
      <c r="E645" s="10"/>
      <c r="I645" s="11"/>
      <c r="J645" s="11"/>
      <c r="K645" s="11"/>
    </row>
    <row r="646" ht="15.75" customHeight="1">
      <c r="B646" s="10"/>
      <c r="D646" s="10"/>
      <c r="E646" s="10"/>
      <c r="I646" s="11"/>
      <c r="J646" s="11"/>
      <c r="K646" s="11"/>
    </row>
    <row r="647" ht="15.75" customHeight="1">
      <c r="B647" s="10"/>
      <c r="D647" s="10"/>
      <c r="E647" s="10"/>
      <c r="I647" s="11"/>
      <c r="J647" s="11"/>
      <c r="K647" s="11"/>
    </row>
    <row r="648" ht="15.75" customHeight="1">
      <c r="B648" s="10"/>
      <c r="D648" s="10"/>
      <c r="E648" s="10"/>
      <c r="I648" s="11"/>
      <c r="J648" s="11"/>
      <c r="K648" s="11"/>
    </row>
    <row r="649" ht="15.75" customHeight="1">
      <c r="B649" s="10"/>
      <c r="D649" s="10"/>
      <c r="E649" s="10"/>
      <c r="I649" s="11"/>
      <c r="J649" s="11"/>
      <c r="K649" s="11"/>
    </row>
    <row r="650" ht="15.75" customHeight="1">
      <c r="B650" s="10"/>
      <c r="D650" s="10"/>
      <c r="E650" s="10"/>
      <c r="I650" s="11"/>
      <c r="J650" s="11"/>
      <c r="K650" s="11"/>
    </row>
    <row r="651" ht="15.75" customHeight="1">
      <c r="B651" s="10"/>
      <c r="D651" s="10"/>
      <c r="E651" s="10"/>
      <c r="I651" s="11"/>
      <c r="J651" s="11"/>
      <c r="K651" s="11"/>
    </row>
    <row r="652" ht="15.75" customHeight="1">
      <c r="B652" s="10"/>
      <c r="D652" s="10"/>
      <c r="E652" s="10"/>
      <c r="I652" s="11"/>
      <c r="J652" s="11"/>
      <c r="K652" s="11"/>
    </row>
    <row r="653" ht="15.75" customHeight="1">
      <c r="B653" s="10"/>
      <c r="D653" s="10"/>
      <c r="E653" s="10"/>
      <c r="I653" s="11"/>
      <c r="J653" s="11"/>
      <c r="K653" s="11"/>
    </row>
    <row r="654" ht="15.75" customHeight="1">
      <c r="B654" s="10"/>
      <c r="D654" s="10"/>
      <c r="E654" s="10"/>
      <c r="I654" s="11"/>
      <c r="J654" s="11"/>
      <c r="K654" s="11"/>
    </row>
    <row r="655" ht="15.75" customHeight="1">
      <c r="B655" s="10"/>
      <c r="D655" s="10"/>
      <c r="E655" s="10"/>
      <c r="I655" s="11"/>
      <c r="J655" s="11"/>
      <c r="K655" s="11"/>
    </row>
    <row r="656" ht="15.75" customHeight="1">
      <c r="B656" s="10"/>
      <c r="D656" s="10"/>
      <c r="E656" s="10"/>
      <c r="I656" s="11"/>
      <c r="J656" s="11"/>
      <c r="K656" s="11"/>
    </row>
    <row r="657" ht="15.75" customHeight="1">
      <c r="B657" s="10"/>
      <c r="D657" s="10"/>
      <c r="E657" s="10"/>
      <c r="I657" s="11"/>
      <c r="J657" s="11"/>
      <c r="K657" s="11"/>
    </row>
    <row r="658" ht="15.75" customHeight="1">
      <c r="B658" s="10"/>
      <c r="D658" s="10"/>
      <c r="E658" s="10"/>
      <c r="I658" s="11"/>
      <c r="J658" s="11"/>
      <c r="K658" s="11"/>
    </row>
    <row r="659" ht="15.75" customHeight="1">
      <c r="B659" s="10"/>
      <c r="D659" s="10"/>
      <c r="E659" s="10"/>
      <c r="I659" s="11"/>
      <c r="J659" s="11"/>
      <c r="K659" s="11"/>
    </row>
    <row r="660" ht="15.75" customHeight="1">
      <c r="B660" s="10"/>
      <c r="D660" s="10"/>
      <c r="E660" s="10"/>
      <c r="I660" s="11"/>
      <c r="J660" s="11"/>
      <c r="K660" s="11"/>
    </row>
    <row r="661" ht="15.75" customHeight="1">
      <c r="B661" s="10"/>
      <c r="D661" s="10"/>
      <c r="E661" s="10"/>
      <c r="I661" s="11"/>
      <c r="J661" s="11"/>
      <c r="K661" s="11"/>
    </row>
    <row r="662" ht="15.75" customHeight="1">
      <c r="B662" s="10"/>
      <c r="D662" s="10"/>
      <c r="E662" s="10"/>
      <c r="I662" s="11"/>
      <c r="J662" s="11"/>
      <c r="K662" s="11"/>
    </row>
    <row r="663" ht="15.75" customHeight="1">
      <c r="B663" s="10"/>
      <c r="D663" s="10"/>
      <c r="E663" s="10"/>
      <c r="I663" s="11"/>
      <c r="J663" s="11"/>
      <c r="K663" s="11"/>
    </row>
    <row r="664" ht="15.75" customHeight="1">
      <c r="B664" s="10"/>
      <c r="D664" s="10"/>
      <c r="E664" s="10"/>
      <c r="I664" s="11"/>
      <c r="J664" s="11"/>
      <c r="K664" s="11"/>
    </row>
    <row r="665" ht="15.75" customHeight="1">
      <c r="B665" s="10"/>
      <c r="D665" s="10"/>
      <c r="E665" s="10"/>
      <c r="I665" s="11"/>
      <c r="J665" s="11"/>
      <c r="K665" s="11"/>
    </row>
    <row r="666" ht="15.75" customHeight="1">
      <c r="B666" s="10"/>
      <c r="D666" s="10"/>
      <c r="E666" s="10"/>
      <c r="I666" s="11"/>
      <c r="J666" s="11"/>
      <c r="K666" s="11"/>
    </row>
    <row r="667" ht="15.75" customHeight="1">
      <c r="B667" s="10"/>
      <c r="D667" s="10"/>
      <c r="E667" s="10"/>
      <c r="I667" s="11"/>
      <c r="J667" s="11"/>
      <c r="K667" s="11"/>
    </row>
    <row r="668" ht="15.75" customHeight="1">
      <c r="B668" s="10"/>
      <c r="D668" s="10"/>
      <c r="E668" s="10"/>
      <c r="I668" s="11"/>
      <c r="J668" s="11"/>
      <c r="K668" s="11"/>
    </row>
    <row r="669" ht="15.75" customHeight="1">
      <c r="B669" s="10"/>
      <c r="D669" s="10"/>
      <c r="E669" s="10"/>
      <c r="I669" s="11"/>
      <c r="J669" s="11"/>
      <c r="K669" s="11"/>
    </row>
    <row r="670" ht="15.75" customHeight="1">
      <c r="B670" s="10"/>
      <c r="D670" s="10"/>
      <c r="E670" s="10"/>
      <c r="I670" s="11"/>
      <c r="J670" s="11"/>
      <c r="K670" s="11"/>
    </row>
    <row r="671" ht="15.75" customHeight="1">
      <c r="B671" s="10"/>
      <c r="D671" s="10"/>
      <c r="E671" s="10"/>
      <c r="I671" s="11"/>
      <c r="J671" s="11"/>
      <c r="K671" s="11"/>
    </row>
    <row r="672" ht="15.75" customHeight="1">
      <c r="B672" s="10"/>
      <c r="D672" s="10"/>
      <c r="E672" s="10"/>
      <c r="I672" s="11"/>
      <c r="J672" s="11"/>
      <c r="K672" s="11"/>
    </row>
    <row r="673" ht="15.75" customHeight="1">
      <c r="B673" s="10"/>
      <c r="D673" s="10"/>
      <c r="E673" s="10"/>
      <c r="I673" s="11"/>
      <c r="J673" s="11"/>
      <c r="K673" s="11"/>
    </row>
    <row r="674" ht="15.75" customHeight="1">
      <c r="B674" s="10"/>
      <c r="D674" s="10"/>
      <c r="E674" s="10"/>
      <c r="I674" s="11"/>
      <c r="J674" s="11"/>
      <c r="K674" s="11"/>
    </row>
    <row r="675" ht="15.75" customHeight="1">
      <c r="B675" s="10"/>
      <c r="D675" s="10"/>
      <c r="E675" s="10"/>
      <c r="I675" s="11"/>
      <c r="J675" s="11"/>
      <c r="K675" s="11"/>
    </row>
    <row r="676" ht="15.75" customHeight="1">
      <c r="B676" s="10"/>
      <c r="D676" s="10"/>
      <c r="E676" s="10"/>
      <c r="I676" s="11"/>
      <c r="J676" s="11"/>
      <c r="K676" s="11"/>
    </row>
    <row r="677" ht="15.75" customHeight="1">
      <c r="B677" s="10"/>
      <c r="D677" s="10"/>
      <c r="E677" s="10"/>
      <c r="I677" s="11"/>
      <c r="J677" s="11"/>
      <c r="K677" s="11"/>
    </row>
    <row r="678" ht="15.75" customHeight="1">
      <c r="B678" s="10"/>
      <c r="D678" s="10"/>
      <c r="E678" s="10"/>
      <c r="I678" s="11"/>
      <c r="J678" s="11"/>
      <c r="K678" s="11"/>
    </row>
    <row r="679" ht="15.75" customHeight="1">
      <c r="B679" s="10"/>
      <c r="D679" s="10"/>
      <c r="E679" s="10"/>
      <c r="I679" s="11"/>
      <c r="J679" s="11"/>
      <c r="K679" s="11"/>
    </row>
    <row r="680" ht="15.75" customHeight="1">
      <c r="B680" s="10"/>
      <c r="D680" s="10"/>
      <c r="E680" s="10"/>
      <c r="I680" s="11"/>
      <c r="J680" s="11"/>
      <c r="K680" s="11"/>
    </row>
    <row r="681" ht="15.75" customHeight="1">
      <c r="B681" s="10"/>
      <c r="D681" s="10"/>
      <c r="E681" s="10"/>
      <c r="I681" s="11"/>
      <c r="J681" s="11"/>
      <c r="K681" s="11"/>
    </row>
    <row r="682" ht="15.75" customHeight="1">
      <c r="B682" s="10"/>
      <c r="D682" s="10"/>
      <c r="E682" s="10"/>
      <c r="I682" s="11"/>
      <c r="J682" s="11"/>
      <c r="K682" s="11"/>
    </row>
    <row r="683" ht="15.75" customHeight="1">
      <c r="B683" s="10"/>
      <c r="D683" s="10"/>
      <c r="E683" s="10"/>
      <c r="I683" s="11"/>
      <c r="J683" s="11"/>
      <c r="K683" s="11"/>
    </row>
    <row r="684" ht="15.75" customHeight="1">
      <c r="B684" s="10"/>
      <c r="D684" s="10"/>
      <c r="E684" s="10"/>
      <c r="I684" s="11"/>
      <c r="J684" s="11"/>
      <c r="K684" s="11"/>
    </row>
    <row r="685" ht="15.75" customHeight="1">
      <c r="B685" s="10"/>
      <c r="D685" s="10"/>
      <c r="E685" s="10"/>
      <c r="I685" s="11"/>
      <c r="J685" s="11"/>
      <c r="K685" s="11"/>
    </row>
    <row r="686" ht="15.75" customHeight="1">
      <c r="B686" s="10"/>
      <c r="D686" s="10"/>
      <c r="E686" s="10"/>
      <c r="I686" s="11"/>
      <c r="J686" s="11"/>
      <c r="K686" s="11"/>
    </row>
    <row r="687" ht="15.75" customHeight="1">
      <c r="B687" s="10"/>
      <c r="D687" s="10"/>
      <c r="E687" s="10"/>
      <c r="I687" s="11"/>
      <c r="J687" s="11"/>
      <c r="K687" s="11"/>
    </row>
    <row r="688" ht="15.75" customHeight="1">
      <c r="B688" s="10"/>
      <c r="D688" s="10"/>
      <c r="E688" s="10"/>
      <c r="I688" s="11"/>
      <c r="J688" s="11"/>
      <c r="K688" s="11"/>
    </row>
    <row r="689" ht="15.75" customHeight="1">
      <c r="B689" s="10"/>
      <c r="D689" s="10"/>
      <c r="E689" s="10"/>
      <c r="I689" s="11"/>
      <c r="J689" s="11"/>
      <c r="K689" s="11"/>
    </row>
    <row r="690" ht="15.75" customHeight="1">
      <c r="B690" s="10"/>
      <c r="D690" s="10"/>
      <c r="E690" s="10"/>
      <c r="I690" s="11"/>
      <c r="J690" s="11"/>
      <c r="K690" s="11"/>
    </row>
    <row r="691" ht="15.75" customHeight="1">
      <c r="B691" s="10"/>
      <c r="D691" s="10"/>
      <c r="E691" s="10"/>
      <c r="I691" s="11"/>
      <c r="J691" s="11"/>
      <c r="K691" s="11"/>
    </row>
    <row r="692" ht="15.75" customHeight="1">
      <c r="B692" s="10"/>
      <c r="D692" s="10"/>
      <c r="E692" s="10"/>
      <c r="I692" s="11"/>
      <c r="J692" s="11"/>
      <c r="K692" s="11"/>
    </row>
    <row r="693" ht="15.75" customHeight="1">
      <c r="B693" s="10"/>
      <c r="D693" s="10"/>
      <c r="E693" s="10"/>
      <c r="I693" s="11"/>
      <c r="J693" s="11"/>
      <c r="K693" s="11"/>
    </row>
    <row r="694" ht="15.75" customHeight="1">
      <c r="B694" s="10"/>
      <c r="D694" s="10"/>
      <c r="E694" s="10"/>
      <c r="I694" s="11"/>
      <c r="J694" s="11"/>
      <c r="K694" s="11"/>
    </row>
    <row r="695" ht="15.75" customHeight="1">
      <c r="B695" s="10"/>
      <c r="D695" s="10"/>
      <c r="E695" s="10"/>
      <c r="I695" s="11"/>
      <c r="J695" s="11"/>
      <c r="K695" s="11"/>
    </row>
    <row r="696" ht="15.75" customHeight="1">
      <c r="B696" s="10"/>
      <c r="D696" s="10"/>
      <c r="E696" s="10"/>
      <c r="I696" s="11"/>
      <c r="J696" s="11"/>
      <c r="K696" s="11"/>
    </row>
    <row r="697" ht="15.75" customHeight="1">
      <c r="B697" s="10"/>
      <c r="D697" s="10"/>
      <c r="E697" s="10"/>
      <c r="I697" s="11"/>
      <c r="J697" s="11"/>
      <c r="K697" s="11"/>
    </row>
    <row r="698" ht="15.75" customHeight="1">
      <c r="B698" s="10"/>
      <c r="D698" s="10"/>
      <c r="E698" s="10"/>
      <c r="I698" s="11"/>
      <c r="J698" s="11"/>
      <c r="K698" s="11"/>
    </row>
    <row r="699" ht="15.75" customHeight="1">
      <c r="B699" s="10"/>
      <c r="D699" s="10"/>
      <c r="E699" s="10"/>
      <c r="I699" s="11"/>
      <c r="J699" s="11"/>
      <c r="K699" s="11"/>
    </row>
    <row r="700" ht="15.75" customHeight="1">
      <c r="B700" s="10"/>
      <c r="D700" s="10"/>
      <c r="E700" s="10"/>
      <c r="I700" s="11"/>
      <c r="J700" s="11"/>
      <c r="K700" s="11"/>
    </row>
    <row r="701" ht="15.75" customHeight="1">
      <c r="B701" s="10"/>
      <c r="D701" s="10"/>
      <c r="E701" s="10"/>
      <c r="I701" s="11"/>
      <c r="J701" s="11"/>
      <c r="K701" s="11"/>
    </row>
    <row r="702" ht="15.75" customHeight="1">
      <c r="B702" s="10"/>
      <c r="D702" s="10"/>
      <c r="E702" s="10"/>
      <c r="I702" s="11"/>
      <c r="J702" s="11"/>
      <c r="K702" s="11"/>
    </row>
    <row r="703" ht="15.75" customHeight="1">
      <c r="B703" s="10"/>
      <c r="D703" s="10"/>
      <c r="E703" s="10"/>
      <c r="I703" s="11"/>
      <c r="J703" s="11"/>
      <c r="K703" s="11"/>
    </row>
    <row r="704" ht="15.75" customHeight="1">
      <c r="B704" s="10"/>
      <c r="D704" s="10"/>
      <c r="E704" s="10"/>
      <c r="I704" s="11"/>
      <c r="J704" s="11"/>
      <c r="K704" s="11"/>
    </row>
    <row r="705" ht="15.75" customHeight="1">
      <c r="B705" s="10"/>
      <c r="D705" s="10"/>
      <c r="E705" s="10"/>
      <c r="I705" s="11"/>
      <c r="J705" s="11"/>
      <c r="K705" s="11"/>
    </row>
    <row r="706" ht="15.75" customHeight="1">
      <c r="B706" s="10"/>
      <c r="D706" s="10"/>
      <c r="E706" s="10"/>
      <c r="I706" s="11"/>
      <c r="J706" s="11"/>
      <c r="K706" s="11"/>
    </row>
    <row r="707" ht="15.75" customHeight="1">
      <c r="B707" s="10"/>
      <c r="D707" s="10"/>
      <c r="E707" s="10"/>
      <c r="I707" s="11"/>
      <c r="J707" s="11"/>
      <c r="K707" s="11"/>
    </row>
    <row r="708" ht="15.75" customHeight="1">
      <c r="B708" s="10"/>
      <c r="D708" s="10"/>
      <c r="E708" s="10"/>
      <c r="I708" s="11"/>
      <c r="J708" s="11"/>
      <c r="K708" s="11"/>
    </row>
    <row r="709" ht="15.75" customHeight="1">
      <c r="B709" s="10"/>
      <c r="D709" s="10"/>
      <c r="E709" s="10"/>
      <c r="I709" s="11"/>
      <c r="J709" s="11"/>
      <c r="K709" s="11"/>
    </row>
    <row r="710" ht="15.75" customHeight="1">
      <c r="B710" s="10"/>
      <c r="D710" s="10"/>
      <c r="E710" s="10"/>
      <c r="I710" s="11"/>
      <c r="J710" s="11"/>
      <c r="K710" s="11"/>
    </row>
    <row r="711" ht="15.75" customHeight="1">
      <c r="B711" s="10"/>
      <c r="D711" s="10"/>
      <c r="E711" s="10"/>
      <c r="I711" s="11"/>
      <c r="J711" s="11"/>
      <c r="K711" s="11"/>
    </row>
    <row r="712" ht="15.75" customHeight="1">
      <c r="B712" s="10"/>
      <c r="D712" s="10"/>
      <c r="E712" s="10"/>
      <c r="I712" s="11"/>
      <c r="J712" s="11"/>
      <c r="K712" s="11"/>
    </row>
    <row r="713" ht="15.75" customHeight="1">
      <c r="B713" s="10"/>
      <c r="D713" s="10"/>
      <c r="E713" s="10"/>
      <c r="I713" s="11"/>
      <c r="J713" s="11"/>
      <c r="K713" s="11"/>
    </row>
    <row r="714" ht="15.75" customHeight="1">
      <c r="B714" s="10"/>
      <c r="D714" s="10"/>
      <c r="E714" s="10"/>
      <c r="I714" s="11"/>
      <c r="J714" s="11"/>
      <c r="K714" s="11"/>
    </row>
    <row r="715" ht="15.75" customHeight="1">
      <c r="B715" s="10"/>
      <c r="D715" s="10"/>
      <c r="E715" s="10"/>
      <c r="I715" s="11"/>
      <c r="J715" s="11"/>
      <c r="K715" s="11"/>
    </row>
    <row r="716" ht="15.75" customHeight="1">
      <c r="B716" s="10"/>
      <c r="D716" s="10"/>
      <c r="E716" s="10"/>
      <c r="I716" s="11"/>
      <c r="J716" s="11"/>
      <c r="K716" s="11"/>
    </row>
    <row r="717" ht="15.75" customHeight="1">
      <c r="B717" s="10"/>
      <c r="D717" s="10"/>
      <c r="E717" s="10"/>
      <c r="I717" s="11"/>
      <c r="J717" s="11"/>
      <c r="K717" s="11"/>
    </row>
    <row r="718" ht="15.75" customHeight="1">
      <c r="B718" s="10"/>
      <c r="D718" s="10"/>
      <c r="E718" s="10"/>
      <c r="I718" s="11"/>
      <c r="J718" s="11"/>
      <c r="K718" s="11"/>
    </row>
    <row r="719" ht="15.75" customHeight="1">
      <c r="B719" s="10"/>
      <c r="D719" s="10"/>
      <c r="E719" s="10"/>
      <c r="I719" s="11"/>
      <c r="J719" s="11"/>
      <c r="K719" s="11"/>
    </row>
    <row r="720" ht="15.75" customHeight="1">
      <c r="B720" s="10"/>
      <c r="D720" s="10"/>
      <c r="E720" s="10"/>
      <c r="I720" s="11"/>
      <c r="J720" s="11"/>
      <c r="K720" s="11"/>
    </row>
    <row r="721" ht="15.75" customHeight="1">
      <c r="B721" s="10"/>
      <c r="D721" s="10"/>
      <c r="E721" s="10"/>
      <c r="I721" s="11"/>
      <c r="J721" s="11"/>
      <c r="K721" s="11"/>
    </row>
    <row r="722" ht="15.75" customHeight="1">
      <c r="B722" s="10"/>
      <c r="D722" s="10"/>
      <c r="E722" s="10"/>
      <c r="I722" s="11"/>
      <c r="J722" s="11"/>
      <c r="K722" s="11"/>
    </row>
    <row r="723" ht="15.75" customHeight="1">
      <c r="B723" s="10"/>
      <c r="D723" s="10"/>
      <c r="E723" s="10"/>
      <c r="I723" s="11"/>
      <c r="J723" s="11"/>
      <c r="K723" s="11"/>
    </row>
    <row r="724" ht="15.75" customHeight="1">
      <c r="B724" s="10"/>
      <c r="D724" s="10"/>
      <c r="E724" s="10"/>
      <c r="I724" s="11"/>
      <c r="J724" s="11"/>
      <c r="K724" s="11"/>
    </row>
    <row r="725" ht="15.75" customHeight="1">
      <c r="B725" s="10"/>
      <c r="D725" s="10"/>
      <c r="E725" s="10"/>
      <c r="I725" s="11"/>
      <c r="J725" s="11"/>
      <c r="K725" s="11"/>
    </row>
    <row r="726" ht="15.75" customHeight="1">
      <c r="B726" s="10"/>
      <c r="D726" s="10"/>
      <c r="E726" s="10"/>
      <c r="I726" s="11"/>
      <c r="J726" s="11"/>
      <c r="K726" s="11"/>
    </row>
    <row r="727" ht="15.75" customHeight="1">
      <c r="B727" s="10"/>
      <c r="D727" s="10"/>
      <c r="E727" s="10"/>
      <c r="I727" s="11"/>
      <c r="J727" s="11"/>
      <c r="K727" s="11"/>
    </row>
    <row r="728" ht="15.75" customHeight="1">
      <c r="B728" s="10"/>
      <c r="D728" s="10"/>
      <c r="E728" s="10"/>
      <c r="I728" s="11"/>
      <c r="J728" s="11"/>
      <c r="K728" s="11"/>
    </row>
    <row r="729" ht="15.75" customHeight="1">
      <c r="B729" s="10"/>
      <c r="D729" s="10"/>
      <c r="E729" s="10"/>
      <c r="I729" s="11"/>
      <c r="J729" s="11"/>
      <c r="K729" s="11"/>
    </row>
    <row r="730" ht="15.75" customHeight="1">
      <c r="B730" s="10"/>
      <c r="D730" s="10"/>
      <c r="E730" s="10"/>
      <c r="I730" s="11"/>
      <c r="J730" s="11"/>
      <c r="K730" s="11"/>
    </row>
    <row r="731" ht="15.75" customHeight="1">
      <c r="B731" s="10"/>
      <c r="D731" s="10"/>
      <c r="E731" s="10"/>
      <c r="I731" s="11"/>
      <c r="J731" s="11"/>
      <c r="K731" s="11"/>
    </row>
    <row r="732" ht="15.75" customHeight="1">
      <c r="B732" s="10"/>
      <c r="D732" s="10"/>
      <c r="E732" s="10"/>
      <c r="I732" s="11"/>
      <c r="J732" s="11"/>
      <c r="K732" s="11"/>
    </row>
    <row r="733" ht="15.75" customHeight="1">
      <c r="B733" s="10"/>
      <c r="D733" s="10"/>
      <c r="E733" s="10"/>
      <c r="I733" s="11"/>
      <c r="J733" s="11"/>
      <c r="K733" s="11"/>
    </row>
    <row r="734" ht="15.75" customHeight="1">
      <c r="B734" s="10"/>
      <c r="D734" s="10"/>
      <c r="E734" s="10"/>
      <c r="I734" s="11"/>
      <c r="J734" s="11"/>
      <c r="K734" s="11"/>
    </row>
    <row r="735" ht="15.75" customHeight="1">
      <c r="B735" s="10"/>
      <c r="D735" s="10"/>
      <c r="E735" s="10"/>
      <c r="I735" s="11"/>
      <c r="J735" s="11"/>
      <c r="K735" s="11"/>
    </row>
    <row r="736" ht="15.75" customHeight="1">
      <c r="B736" s="10"/>
      <c r="D736" s="10"/>
      <c r="E736" s="10"/>
      <c r="I736" s="11"/>
      <c r="J736" s="11"/>
      <c r="K736" s="11"/>
    </row>
    <row r="737" ht="15.75" customHeight="1">
      <c r="B737" s="10"/>
      <c r="D737" s="10"/>
      <c r="E737" s="10"/>
      <c r="I737" s="11"/>
      <c r="J737" s="11"/>
      <c r="K737" s="11"/>
    </row>
    <row r="738" ht="15.75" customHeight="1">
      <c r="B738" s="10"/>
      <c r="D738" s="10"/>
      <c r="E738" s="10"/>
      <c r="I738" s="11"/>
      <c r="J738" s="11"/>
      <c r="K738" s="11"/>
    </row>
    <row r="739" ht="15.75" customHeight="1">
      <c r="B739" s="10"/>
      <c r="D739" s="10"/>
      <c r="E739" s="10"/>
      <c r="I739" s="11"/>
      <c r="J739" s="11"/>
      <c r="K739" s="11"/>
    </row>
    <row r="740" ht="15.75" customHeight="1">
      <c r="B740" s="10"/>
      <c r="D740" s="10"/>
      <c r="E740" s="10"/>
      <c r="I740" s="11"/>
      <c r="J740" s="11"/>
      <c r="K740" s="11"/>
    </row>
    <row r="741" ht="15.75" customHeight="1">
      <c r="B741" s="10"/>
      <c r="D741" s="10"/>
      <c r="E741" s="10"/>
      <c r="I741" s="11"/>
      <c r="J741" s="11"/>
      <c r="K741" s="11"/>
    </row>
    <row r="742" ht="15.75" customHeight="1">
      <c r="B742" s="10"/>
      <c r="D742" s="10"/>
      <c r="E742" s="10"/>
      <c r="I742" s="11"/>
      <c r="J742" s="11"/>
      <c r="K742" s="11"/>
    </row>
    <row r="743" ht="15.75" customHeight="1">
      <c r="B743" s="10"/>
      <c r="D743" s="10"/>
      <c r="E743" s="10"/>
      <c r="I743" s="11"/>
      <c r="J743" s="11"/>
      <c r="K743" s="11"/>
    </row>
    <row r="744" ht="15.75" customHeight="1">
      <c r="B744" s="10"/>
      <c r="D744" s="10"/>
      <c r="E744" s="10"/>
      <c r="I744" s="11"/>
      <c r="J744" s="11"/>
      <c r="K744" s="11"/>
    </row>
    <row r="745" ht="15.75" customHeight="1">
      <c r="B745" s="10"/>
      <c r="D745" s="10"/>
      <c r="E745" s="10"/>
      <c r="I745" s="11"/>
      <c r="J745" s="11"/>
      <c r="K745" s="11"/>
    </row>
    <row r="746" ht="15.75" customHeight="1">
      <c r="B746" s="10"/>
      <c r="D746" s="10"/>
      <c r="E746" s="10"/>
      <c r="I746" s="11"/>
      <c r="J746" s="11"/>
      <c r="K746" s="11"/>
    </row>
    <row r="747" ht="15.75" customHeight="1">
      <c r="B747" s="10"/>
      <c r="D747" s="10"/>
      <c r="E747" s="10"/>
      <c r="I747" s="11"/>
      <c r="J747" s="11"/>
      <c r="K747" s="11"/>
    </row>
    <row r="748" ht="15.75" customHeight="1">
      <c r="B748" s="10"/>
      <c r="D748" s="10"/>
      <c r="E748" s="10"/>
      <c r="I748" s="11"/>
      <c r="J748" s="11"/>
      <c r="K748" s="11"/>
    </row>
    <row r="749" ht="15.75" customHeight="1">
      <c r="B749" s="10"/>
      <c r="D749" s="10"/>
      <c r="E749" s="10"/>
      <c r="I749" s="11"/>
      <c r="J749" s="11"/>
      <c r="K749" s="11"/>
    </row>
    <row r="750" ht="15.75" customHeight="1">
      <c r="B750" s="10"/>
      <c r="D750" s="10"/>
      <c r="E750" s="10"/>
      <c r="I750" s="11"/>
      <c r="J750" s="11"/>
      <c r="K750" s="11"/>
    </row>
    <row r="751" ht="15.75" customHeight="1">
      <c r="B751" s="10"/>
      <c r="D751" s="10"/>
      <c r="E751" s="10"/>
      <c r="I751" s="11"/>
      <c r="J751" s="11"/>
      <c r="K751" s="11"/>
    </row>
    <row r="752" ht="15.75" customHeight="1">
      <c r="B752" s="10"/>
      <c r="D752" s="10"/>
      <c r="E752" s="10"/>
      <c r="I752" s="11"/>
      <c r="J752" s="11"/>
      <c r="K752" s="11"/>
    </row>
    <row r="753" ht="15.75" customHeight="1">
      <c r="B753" s="10"/>
      <c r="D753" s="10"/>
      <c r="E753" s="10"/>
      <c r="I753" s="11"/>
      <c r="J753" s="11"/>
      <c r="K753" s="11"/>
    </row>
    <row r="754" ht="15.75" customHeight="1">
      <c r="B754" s="10"/>
      <c r="D754" s="10"/>
      <c r="E754" s="10"/>
      <c r="I754" s="11"/>
      <c r="J754" s="11"/>
      <c r="K754" s="11"/>
    </row>
    <row r="755" ht="15.75" customHeight="1">
      <c r="B755" s="10"/>
      <c r="D755" s="10"/>
      <c r="E755" s="10"/>
      <c r="I755" s="11"/>
      <c r="J755" s="11"/>
      <c r="K755" s="11"/>
    </row>
    <row r="756" ht="15.75" customHeight="1">
      <c r="B756" s="10"/>
      <c r="D756" s="10"/>
      <c r="E756" s="10"/>
      <c r="I756" s="11"/>
      <c r="J756" s="11"/>
      <c r="K756" s="11"/>
    </row>
    <row r="757" ht="15.75" customHeight="1">
      <c r="B757" s="10"/>
      <c r="D757" s="10"/>
      <c r="E757" s="10"/>
      <c r="I757" s="11"/>
      <c r="J757" s="11"/>
      <c r="K757" s="11"/>
    </row>
    <row r="758" ht="15.75" customHeight="1">
      <c r="B758" s="10"/>
      <c r="D758" s="10"/>
      <c r="E758" s="10"/>
      <c r="I758" s="11"/>
      <c r="J758" s="11"/>
      <c r="K758" s="11"/>
    </row>
    <row r="759" ht="15.75" customHeight="1">
      <c r="B759" s="10"/>
      <c r="D759" s="10"/>
      <c r="E759" s="10"/>
      <c r="I759" s="11"/>
      <c r="J759" s="11"/>
      <c r="K759" s="11"/>
    </row>
    <row r="760" ht="15.75" customHeight="1">
      <c r="B760" s="10"/>
      <c r="D760" s="10"/>
      <c r="E760" s="10"/>
      <c r="I760" s="11"/>
      <c r="J760" s="11"/>
      <c r="K760" s="11"/>
    </row>
    <row r="761" ht="15.75" customHeight="1">
      <c r="B761" s="10"/>
      <c r="D761" s="10"/>
      <c r="E761" s="10"/>
      <c r="I761" s="11"/>
      <c r="J761" s="11"/>
      <c r="K761" s="11"/>
    </row>
    <row r="762" ht="15.75" customHeight="1">
      <c r="B762" s="10"/>
      <c r="D762" s="10"/>
      <c r="E762" s="10"/>
      <c r="I762" s="11"/>
      <c r="J762" s="11"/>
      <c r="K762" s="11"/>
    </row>
    <row r="763" ht="15.75" customHeight="1">
      <c r="B763" s="10"/>
      <c r="D763" s="10"/>
      <c r="E763" s="10"/>
      <c r="I763" s="11"/>
      <c r="J763" s="11"/>
      <c r="K763" s="11"/>
    </row>
    <row r="764" ht="15.75" customHeight="1">
      <c r="B764" s="10"/>
      <c r="D764" s="10"/>
      <c r="E764" s="10"/>
      <c r="I764" s="11"/>
      <c r="J764" s="11"/>
      <c r="K764" s="11"/>
    </row>
    <row r="765" ht="15.75" customHeight="1">
      <c r="B765" s="10"/>
      <c r="D765" s="10"/>
      <c r="E765" s="10"/>
      <c r="I765" s="11"/>
      <c r="J765" s="11"/>
      <c r="K765" s="11"/>
    </row>
    <row r="766" ht="15.75" customHeight="1">
      <c r="B766" s="10"/>
      <c r="D766" s="10"/>
      <c r="E766" s="10"/>
      <c r="I766" s="11"/>
      <c r="J766" s="11"/>
      <c r="K766" s="11"/>
    </row>
    <row r="767" ht="15.75" customHeight="1">
      <c r="B767" s="10"/>
      <c r="D767" s="10"/>
      <c r="E767" s="10"/>
      <c r="I767" s="11"/>
      <c r="J767" s="11"/>
      <c r="K767" s="11"/>
    </row>
    <row r="768" ht="15.75" customHeight="1">
      <c r="B768" s="10"/>
      <c r="D768" s="10"/>
      <c r="E768" s="10"/>
      <c r="I768" s="11"/>
      <c r="J768" s="11"/>
      <c r="K768" s="11"/>
    </row>
    <row r="769" ht="15.75" customHeight="1">
      <c r="B769" s="10"/>
      <c r="D769" s="10"/>
      <c r="E769" s="10"/>
      <c r="I769" s="11"/>
      <c r="J769" s="11"/>
      <c r="K769" s="11"/>
    </row>
    <row r="770" ht="15.75" customHeight="1">
      <c r="B770" s="10"/>
      <c r="D770" s="10"/>
      <c r="E770" s="10"/>
      <c r="I770" s="11"/>
      <c r="J770" s="11"/>
      <c r="K770" s="11"/>
    </row>
    <row r="771" ht="15.75" customHeight="1">
      <c r="B771" s="10"/>
      <c r="D771" s="10"/>
      <c r="E771" s="10"/>
      <c r="I771" s="11"/>
      <c r="J771" s="11"/>
      <c r="K771" s="11"/>
    </row>
    <row r="772" ht="15.75" customHeight="1">
      <c r="B772" s="10"/>
      <c r="D772" s="10"/>
      <c r="E772" s="10"/>
      <c r="I772" s="11"/>
      <c r="J772" s="11"/>
      <c r="K772" s="11"/>
    </row>
    <row r="773" ht="15.75" customHeight="1">
      <c r="B773" s="10"/>
      <c r="D773" s="10"/>
      <c r="E773" s="10"/>
      <c r="I773" s="11"/>
      <c r="J773" s="11"/>
      <c r="K773" s="11"/>
    </row>
    <row r="774" ht="15.75" customHeight="1">
      <c r="B774" s="10"/>
      <c r="D774" s="10"/>
      <c r="E774" s="10"/>
      <c r="I774" s="11"/>
      <c r="J774" s="11"/>
      <c r="K774" s="11"/>
    </row>
    <row r="775" ht="15.75" customHeight="1">
      <c r="B775" s="10"/>
      <c r="D775" s="10"/>
      <c r="E775" s="10"/>
      <c r="I775" s="11"/>
      <c r="J775" s="11"/>
      <c r="K775" s="11"/>
    </row>
    <row r="776" ht="15.75" customHeight="1">
      <c r="B776" s="10"/>
      <c r="D776" s="10"/>
      <c r="E776" s="10"/>
      <c r="I776" s="11"/>
      <c r="J776" s="11"/>
      <c r="K776" s="11"/>
    </row>
    <row r="777" ht="15.75" customHeight="1">
      <c r="B777" s="10"/>
      <c r="D777" s="10"/>
      <c r="E777" s="10"/>
      <c r="I777" s="11"/>
      <c r="J777" s="11"/>
      <c r="K777" s="11"/>
    </row>
    <row r="778" ht="15.75" customHeight="1">
      <c r="B778" s="10"/>
      <c r="D778" s="10"/>
      <c r="E778" s="10"/>
      <c r="I778" s="11"/>
      <c r="J778" s="11"/>
      <c r="K778" s="11"/>
    </row>
    <row r="779" ht="15.75" customHeight="1">
      <c r="B779" s="10"/>
      <c r="D779" s="10"/>
      <c r="E779" s="10"/>
      <c r="I779" s="11"/>
      <c r="J779" s="11"/>
      <c r="K779" s="11"/>
    </row>
    <row r="780" ht="15.75" customHeight="1">
      <c r="B780" s="10"/>
      <c r="D780" s="10"/>
      <c r="E780" s="10"/>
      <c r="I780" s="11"/>
      <c r="J780" s="11"/>
      <c r="K780" s="11"/>
    </row>
    <row r="781" ht="15.75" customHeight="1">
      <c r="B781" s="10"/>
      <c r="D781" s="10"/>
      <c r="E781" s="10"/>
      <c r="I781" s="11"/>
      <c r="J781" s="11"/>
      <c r="K781" s="11"/>
    </row>
    <row r="782" ht="15.75" customHeight="1">
      <c r="B782" s="10"/>
      <c r="D782" s="10"/>
      <c r="E782" s="10"/>
      <c r="I782" s="11"/>
      <c r="J782" s="11"/>
      <c r="K782" s="11"/>
    </row>
    <row r="783" ht="15.75" customHeight="1">
      <c r="B783" s="10"/>
      <c r="D783" s="10"/>
      <c r="E783" s="10"/>
      <c r="I783" s="11"/>
      <c r="J783" s="11"/>
      <c r="K783" s="11"/>
    </row>
    <row r="784" ht="15.75" customHeight="1">
      <c r="B784" s="10"/>
      <c r="D784" s="10"/>
      <c r="E784" s="10"/>
      <c r="I784" s="11"/>
      <c r="J784" s="11"/>
      <c r="K784" s="11"/>
    </row>
    <row r="785" ht="15.75" customHeight="1">
      <c r="B785" s="10"/>
      <c r="D785" s="10"/>
      <c r="E785" s="10"/>
      <c r="I785" s="11"/>
      <c r="J785" s="11"/>
      <c r="K785" s="11"/>
    </row>
    <row r="786" ht="15.75" customHeight="1">
      <c r="B786" s="10"/>
      <c r="D786" s="10"/>
      <c r="E786" s="10"/>
      <c r="I786" s="11"/>
      <c r="J786" s="11"/>
      <c r="K786" s="11"/>
    </row>
    <row r="787" ht="15.75" customHeight="1">
      <c r="B787" s="10"/>
      <c r="D787" s="10"/>
      <c r="E787" s="10"/>
      <c r="I787" s="11"/>
      <c r="J787" s="11"/>
      <c r="K787" s="11"/>
    </row>
    <row r="788" ht="15.75" customHeight="1">
      <c r="B788" s="10"/>
      <c r="D788" s="10"/>
      <c r="E788" s="10"/>
      <c r="I788" s="11"/>
      <c r="J788" s="11"/>
      <c r="K788" s="11"/>
    </row>
    <row r="789" ht="15.75" customHeight="1">
      <c r="B789" s="10"/>
      <c r="D789" s="10"/>
      <c r="E789" s="10"/>
      <c r="I789" s="11"/>
      <c r="J789" s="11"/>
      <c r="K789" s="11"/>
    </row>
    <row r="790" ht="15.75" customHeight="1">
      <c r="B790" s="10"/>
      <c r="D790" s="10"/>
      <c r="E790" s="10"/>
      <c r="I790" s="11"/>
      <c r="J790" s="11"/>
      <c r="K790" s="11"/>
    </row>
    <row r="791" ht="15.75" customHeight="1">
      <c r="B791" s="10"/>
      <c r="D791" s="10"/>
      <c r="E791" s="10"/>
      <c r="I791" s="11"/>
      <c r="J791" s="11"/>
      <c r="K791" s="11"/>
    </row>
    <row r="792" ht="15.75" customHeight="1">
      <c r="B792" s="10"/>
      <c r="D792" s="10"/>
      <c r="E792" s="10"/>
      <c r="I792" s="11"/>
      <c r="J792" s="11"/>
      <c r="K792" s="11"/>
    </row>
    <row r="793" ht="15.75" customHeight="1">
      <c r="B793" s="10"/>
      <c r="D793" s="10"/>
      <c r="E793" s="10"/>
      <c r="I793" s="11"/>
      <c r="J793" s="11"/>
      <c r="K793" s="11"/>
    </row>
    <row r="794" ht="15.75" customHeight="1">
      <c r="B794" s="10"/>
      <c r="D794" s="10"/>
      <c r="E794" s="10"/>
      <c r="I794" s="11"/>
      <c r="J794" s="11"/>
      <c r="K794" s="11"/>
    </row>
    <row r="795" ht="15.75" customHeight="1">
      <c r="B795" s="10"/>
      <c r="D795" s="10"/>
      <c r="E795" s="10"/>
      <c r="I795" s="11"/>
      <c r="J795" s="11"/>
      <c r="K795" s="11"/>
    </row>
    <row r="796" ht="15.75" customHeight="1">
      <c r="B796" s="10"/>
      <c r="D796" s="10"/>
      <c r="E796" s="10"/>
      <c r="I796" s="11"/>
      <c r="J796" s="11"/>
      <c r="K796" s="11"/>
    </row>
    <row r="797" ht="15.75" customHeight="1">
      <c r="B797" s="10"/>
      <c r="D797" s="10"/>
      <c r="E797" s="10"/>
      <c r="I797" s="11"/>
      <c r="J797" s="11"/>
      <c r="K797" s="11"/>
    </row>
    <row r="798" ht="15.75" customHeight="1">
      <c r="B798" s="10"/>
      <c r="D798" s="10"/>
      <c r="E798" s="10"/>
      <c r="I798" s="11"/>
      <c r="J798" s="11"/>
      <c r="K798" s="11"/>
    </row>
    <row r="799" ht="15.75" customHeight="1">
      <c r="B799" s="10"/>
      <c r="D799" s="10"/>
      <c r="E799" s="10"/>
      <c r="I799" s="11"/>
      <c r="J799" s="11"/>
      <c r="K799" s="11"/>
    </row>
    <row r="800" ht="15.75" customHeight="1">
      <c r="B800" s="10"/>
      <c r="D800" s="10"/>
      <c r="E800" s="10"/>
      <c r="I800" s="11"/>
      <c r="J800" s="11"/>
      <c r="K800" s="11"/>
    </row>
    <row r="801" ht="15.75" customHeight="1">
      <c r="B801" s="10"/>
      <c r="D801" s="10"/>
      <c r="E801" s="10"/>
      <c r="I801" s="11"/>
      <c r="J801" s="11"/>
      <c r="K801" s="11"/>
    </row>
    <row r="802" ht="15.75" customHeight="1">
      <c r="B802" s="10"/>
      <c r="D802" s="10"/>
      <c r="E802" s="10"/>
      <c r="I802" s="11"/>
      <c r="J802" s="11"/>
      <c r="K802" s="11"/>
    </row>
    <row r="803" ht="15.75" customHeight="1">
      <c r="B803" s="10"/>
      <c r="D803" s="10"/>
      <c r="E803" s="10"/>
      <c r="I803" s="11"/>
      <c r="J803" s="11"/>
      <c r="K803" s="11"/>
    </row>
    <row r="804" ht="15.75" customHeight="1">
      <c r="B804" s="10"/>
      <c r="D804" s="10"/>
      <c r="E804" s="10"/>
      <c r="I804" s="11"/>
      <c r="J804" s="11"/>
      <c r="K804" s="11"/>
    </row>
    <row r="805" ht="15.75" customHeight="1">
      <c r="B805" s="10"/>
      <c r="D805" s="10"/>
      <c r="E805" s="10"/>
      <c r="I805" s="11"/>
      <c r="J805" s="11"/>
      <c r="K805" s="11"/>
    </row>
    <row r="806" ht="15.75" customHeight="1">
      <c r="B806" s="10"/>
      <c r="D806" s="10"/>
      <c r="E806" s="10"/>
      <c r="I806" s="11"/>
      <c r="J806" s="11"/>
      <c r="K806" s="11"/>
    </row>
    <row r="807" ht="15.75" customHeight="1">
      <c r="B807" s="10"/>
      <c r="D807" s="10"/>
      <c r="E807" s="10"/>
      <c r="I807" s="11"/>
      <c r="J807" s="11"/>
      <c r="K807" s="11"/>
    </row>
    <row r="808" ht="15.75" customHeight="1">
      <c r="B808" s="10"/>
      <c r="D808" s="10"/>
      <c r="E808" s="10"/>
      <c r="I808" s="11"/>
      <c r="J808" s="11"/>
      <c r="K808" s="11"/>
    </row>
    <row r="809" ht="15.75" customHeight="1">
      <c r="B809" s="10"/>
      <c r="D809" s="10"/>
      <c r="E809" s="10"/>
      <c r="I809" s="11"/>
      <c r="J809" s="11"/>
      <c r="K809" s="11"/>
    </row>
    <row r="810" ht="15.75" customHeight="1">
      <c r="B810" s="10"/>
      <c r="D810" s="10"/>
      <c r="E810" s="10"/>
      <c r="I810" s="11"/>
      <c r="J810" s="11"/>
      <c r="K810" s="11"/>
    </row>
    <row r="811" ht="15.75" customHeight="1">
      <c r="B811" s="10"/>
      <c r="D811" s="10"/>
      <c r="E811" s="10"/>
      <c r="I811" s="11"/>
      <c r="J811" s="11"/>
      <c r="K811" s="11"/>
    </row>
    <row r="812" ht="15.75" customHeight="1">
      <c r="B812" s="10"/>
      <c r="D812" s="10"/>
      <c r="E812" s="10"/>
      <c r="I812" s="11"/>
      <c r="J812" s="11"/>
      <c r="K812" s="11"/>
    </row>
    <row r="813" ht="15.75" customHeight="1">
      <c r="B813" s="10"/>
      <c r="D813" s="10"/>
      <c r="E813" s="10"/>
      <c r="I813" s="11"/>
      <c r="J813" s="11"/>
      <c r="K813" s="11"/>
    </row>
    <row r="814" ht="15.75" customHeight="1">
      <c r="B814" s="10"/>
      <c r="D814" s="10"/>
      <c r="E814" s="10"/>
      <c r="I814" s="11"/>
      <c r="J814" s="11"/>
      <c r="K814" s="11"/>
    </row>
    <row r="815" ht="15.75" customHeight="1">
      <c r="B815" s="10"/>
      <c r="D815" s="10"/>
      <c r="E815" s="10"/>
      <c r="I815" s="11"/>
      <c r="J815" s="11"/>
      <c r="K815" s="11"/>
    </row>
    <row r="816" ht="15.75" customHeight="1">
      <c r="B816" s="10"/>
      <c r="D816" s="10"/>
      <c r="E816" s="10"/>
      <c r="I816" s="11"/>
      <c r="J816" s="11"/>
      <c r="K816" s="11"/>
    </row>
    <row r="817" ht="15.75" customHeight="1">
      <c r="B817" s="10"/>
      <c r="D817" s="10"/>
      <c r="E817" s="10"/>
      <c r="I817" s="11"/>
      <c r="J817" s="11"/>
      <c r="K817" s="11"/>
    </row>
    <row r="818" ht="15.75" customHeight="1">
      <c r="B818" s="10"/>
      <c r="D818" s="10"/>
      <c r="E818" s="10"/>
      <c r="I818" s="11"/>
      <c r="J818" s="11"/>
      <c r="K818" s="11"/>
    </row>
    <row r="819" ht="15.75" customHeight="1">
      <c r="B819" s="10"/>
      <c r="D819" s="10"/>
      <c r="E819" s="10"/>
      <c r="I819" s="11"/>
      <c r="J819" s="11"/>
      <c r="K819" s="11"/>
    </row>
    <row r="820" ht="15.75" customHeight="1">
      <c r="B820" s="10"/>
      <c r="D820" s="10"/>
      <c r="E820" s="10"/>
      <c r="I820" s="11"/>
      <c r="J820" s="11"/>
      <c r="K820" s="11"/>
    </row>
    <row r="821" ht="15.75" customHeight="1">
      <c r="B821" s="10"/>
      <c r="D821" s="10"/>
      <c r="E821" s="10"/>
      <c r="I821" s="11"/>
      <c r="J821" s="11"/>
      <c r="K821" s="11"/>
    </row>
    <row r="822" ht="15.75" customHeight="1">
      <c r="B822" s="10"/>
      <c r="D822" s="10"/>
      <c r="E822" s="10"/>
      <c r="I822" s="11"/>
      <c r="J822" s="11"/>
      <c r="K822" s="11"/>
    </row>
    <row r="823" ht="15.75" customHeight="1">
      <c r="B823" s="10"/>
      <c r="D823" s="10"/>
      <c r="E823" s="10"/>
      <c r="I823" s="11"/>
      <c r="J823" s="11"/>
      <c r="K823" s="11"/>
    </row>
    <row r="824" ht="15.75" customHeight="1">
      <c r="B824" s="10"/>
      <c r="D824" s="10"/>
      <c r="E824" s="10"/>
      <c r="I824" s="11"/>
      <c r="J824" s="11"/>
      <c r="K824" s="11"/>
    </row>
    <row r="825" ht="15.75" customHeight="1">
      <c r="B825" s="10"/>
      <c r="D825" s="10"/>
      <c r="E825" s="10"/>
      <c r="I825" s="11"/>
      <c r="J825" s="11"/>
      <c r="K825" s="11"/>
    </row>
    <row r="826" ht="15.75" customHeight="1">
      <c r="B826" s="10"/>
      <c r="D826" s="10"/>
      <c r="E826" s="10"/>
      <c r="I826" s="11"/>
      <c r="J826" s="11"/>
      <c r="K826" s="11"/>
    </row>
    <row r="827" ht="15.75" customHeight="1">
      <c r="B827" s="10"/>
      <c r="D827" s="10"/>
      <c r="E827" s="10"/>
      <c r="I827" s="11"/>
      <c r="J827" s="11"/>
      <c r="K827" s="11"/>
    </row>
    <row r="828" ht="15.75" customHeight="1">
      <c r="B828" s="10"/>
      <c r="D828" s="10"/>
      <c r="E828" s="10"/>
      <c r="I828" s="11"/>
      <c r="J828" s="11"/>
      <c r="K828" s="11"/>
    </row>
    <row r="829" ht="15.75" customHeight="1">
      <c r="B829" s="10"/>
      <c r="D829" s="10"/>
      <c r="E829" s="10"/>
      <c r="I829" s="11"/>
      <c r="J829" s="11"/>
      <c r="K829" s="11"/>
    </row>
    <row r="830" ht="15.75" customHeight="1">
      <c r="B830" s="10"/>
      <c r="D830" s="10"/>
      <c r="E830" s="10"/>
      <c r="I830" s="11"/>
      <c r="J830" s="11"/>
      <c r="K830" s="11"/>
    </row>
    <row r="831" ht="15.75" customHeight="1">
      <c r="B831" s="10"/>
      <c r="D831" s="10"/>
      <c r="E831" s="10"/>
      <c r="I831" s="11"/>
      <c r="J831" s="11"/>
      <c r="K831" s="11"/>
    </row>
    <row r="832" ht="15.75" customHeight="1">
      <c r="B832" s="10"/>
      <c r="D832" s="10"/>
      <c r="E832" s="10"/>
      <c r="I832" s="11"/>
      <c r="J832" s="11"/>
      <c r="K832" s="11"/>
    </row>
    <row r="833" ht="15.75" customHeight="1">
      <c r="B833" s="10"/>
      <c r="D833" s="10"/>
      <c r="E833" s="10"/>
      <c r="I833" s="11"/>
      <c r="J833" s="11"/>
      <c r="K833" s="11"/>
    </row>
    <row r="834" ht="15.75" customHeight="1">
      <c r="B834" s="10"/>
      <c r="D834" s="10"/>
      <c r="E834" s="10"/>
      <c r="I834" s="11"/>
      <c r="J834" s="11"/>
      <c r="K834" s="11"/>
    </row>
    <row r="835" ht="15.75" customHeight="1">
      <c r="B835" s="10"/>
      <c r="D835" s="10"/>
      <c r="E835" s="10"/>
      <c r="I835" s="11"/>
      <c r="J835" s="11"/>
      <c r="K835" s="11"/>
    </row>
    <row r="836" ht="15.75" customHeight="1">
      <c r="B836" s="10"/>
      <c r="D836" s="10"/>
      <c r="E836" s="10"/>
      <c r="I836" s="11"/>
      <c r="J836" s="11"/>
      <c r="K836" s="11"/>
    </row>
    <row r="837" ht="15.75" customHeight="1">
      <c r="B837" s="10"/>
      <c r="D837" s="10"/>
      <c r="E837" s="10"/>
      <c r="I837" s="11"/>
      <c r="J837" s="11"/>
      <c r="K837" s="11"/>
    </row>
    <row r="838" ht="15.75" customHeight="1">
      <c r="B838" s="10"/>
      <c r="D838" s="10"/>
      <c r="E838" s="10"/>
      <c r="I838" s="11"/>
      <c r="J838" s="11"/>
      <c r="K838" s="11"/>
    </row>
    <row r="839" ht="15.75" customHeight="1">
      <c r="B839" s="10"/>
      <c r="D839" s="10"/>
      <c r="E839" s="10"/>
      <c r="I839" s="11"/>
      <c r="J839" s="11"/>
      <c r="K839" s="11"/>
    </row>
    <row r="840" ht="15.75" customHeight="1">
      <c r="B840" s="10"/>
      <c r="D840" s="10"/>
      <c r="E840" s="10"/>
      <c r="I840" s="11"/>
      <c r="J840" s="11"/>
      <c r="K840" s="11"/>
    </row>
    <row r="841" ht="15.75" customHeight="1">
      <c r="B841" s="10"/>
      <c r="D841" s="10"/>
      <c r="E841" s="10"/>
      <c r="I841" s="11"/>
      <c r="J841" s="11"/>
      <c r="K841" s="11"/>
    </row>
    <row r="842" ht="15.75" customHeight="1">
      <c r="B842" s="10"/>
      <c r="D842" s="10"/>
      <c r="E842" s="10"/>
      <c r="I842" s="11"/>
      <c r="J842" s="11"/>
      <c r="K842" s="11"/>
    </row>
    <row r="843" ht="15.75" customHeight="1">
      <c r="B843" s="10"/>
      <c r="D843" s="10"/>
      <c r="E843" s="10"/>
      <c r="I843" s="11"/>
      <c r="J843" s="11"/>
      <c r="K843" s="11"/>
    </row>
    <row r="844" ht="15.75" customHeight="1">
      <c r="B844" s="10"/>
      <c r="D844" s="10"/>
      <c r="E844" s="10"/>
      <c r="I844" s="11"/>
      <c r="J844" s="11"/>
      <c r="K844" s="11"/>
    </row>
    <row r="845" ht="15.75" customHeight="1">
      <c r="B845" s="10"/>
      <c r="D845" s="10"/>
      <c r="E845" s="10"/>
      <c r="I845" s="11"/>
      <c r="J845" s="11"/>
      <c r="K845" s="11"/>
    </row>
    <row r="846" ht="15.75" customHeight="1">
      <c r="B846" s="10"/>
      <c r="D846" s="10"/>
      <c r="E846" s="10"/>
      <c r="I846" s="11"/>
      <c r="J846" s="11"/>
      <c r="K846" s="11"/>
    </row>
    <row r="847" ht="15.75" customHeight="1">
      <c r="B847" s="10"/>
      <c r="D847" s="10"/>
      <c r="E847" s="10"/>
      <c r="I847" s="11"/>
      <c r="J847" s="11"/>
      <c r="K847" s="11"/>
    </row>
    <row r="848" ht="15.75" customHeight="1">
      <c r="B848" s="10"/>
      <c r="D848" s="10"/>
      <c r="E848" s="10"/>
      <c r="I848" s="11"/>
      <c r="J848" s="11"/>
      <c r="K848" s="11"/>
    </row>
    <row r="849" ht="15.75" customHeight="1">
      <c r="B849" s="10"/>
      <c r="D849" s="10"/>
      <c r="E849" s="10"/>
      <c r="I849" s="11"/>
      <c r="J849" s="11"/>
      <c r="K849" s="11"/>
    </row>
    <row r="850" ht="15.75" customHeight="1">
      <c r="B850" s="10"/>
      <c r="D850" s="10"/>
      <c r="E850" s="10"/>
      <c r="I850" s="11"/>
      <c r="J850" s="11"/>
      <c r="K850" s="11"/>
    </row>
    <row r="851" ht="15.75" customHeight="1">
      <c r="B851" s="10"/>
      <c r="D851" s="10"/>
      <c r="E851" s="10"/>
      <c r="I851" s="11"/>
      <c r="J851" s="11"/>
      <c r="K851" s="11"/>
    </row>
    <row r="852" ht="15.75" customHeight="1">
      <c r="B852" s="10"/>
      <c r="D852" s="10"/>
      <c r="E852" s="10"/>
      <c r="I852" s="11"/>
      <c r="J852" s="11"/>
      <c r="K852" s="11"/>
    </row>
    <row r="853" ht="15.75" customHeight="1">
      <c r="B853" s="10"/>
      <c r="D853" s="10"/>
      <c r="E853" s="10"/>
      <c r="I853" s="11"/>
      <c r="J853" s="11"/>
      <c r="K853" s="11"/>
    </row>
    <row r="854" ht="15.75" customHeight="1">
      <c r="B854" s="10"/>
      <c r="D854" s="10"/>
      <c r="E854" s="10"/>
      <c r="I854" s="11"/>
      <c r="J854" s="11"/>
      <c r="K854" s="11"/>
    </row>
    <row r="855" ht="15.75" customHeight="1">
      <c r="B855" s="10"/>
      <c r="D855" s="10"/>
      <c r="E855" s="10"/>
      <c r="I855" s="11"/>
      <c r="J855" s="11"/>
      <c r="K855" s="11"/>
    </row>
    <row r="856" ht="15.75" customHeight="1">
      <c r="B856" s="10"/>
      <c r="D856" s="10"/>
      <c r="E856" s="10"/>
      <c r="I856" s="11"/>
      <c r="J856" s="11"/>
      <c r="K856" s="11"/>
    </row>
    <row r="857" ht="15.75" customHeight="1">
      <c r="B857" s="10"/>
      <c r="D857" s="10"/>
      <c r="E857" s="10"/>
      <c r="I857" s="11"/>
      <c r="J857" s="11"/>
      <c r="K857" s="11"/>
    </row>
    <row r="858" ht="15.75" customHeight="1">
      <c r="B858" s="10"/>
      <c r="D858" s="10"/>
      <c r="E858" s="10"/>
      <c r="I858" s="11"/>
      <c r="J858" s="11"/>
      <c r="K858" s="11"/>
    </row>
    <row r="859" ht="15.75" customHeight="1">
      <c r="B859" s="10"/>
      <c r="D859" s="10"/>
      <c r="E859" s="10"/>
      <c r="I859" s="11"/>
      <c r="J859" s="11"/>
      <c r="K859" s="11"/>
    </row>
    <row r="860" ht="15.75" customHeight="1">
      <c r="B860" s="10"/>
      <c r="D860" s="10"/>
      <c r="E860" s="10"/>
      <c r="I860" s="11"/>
      <c r="J860" s="11"/>
      <c r="K860" s="11"/>
    </row>
    <row r="861" ht="15.75" customHeight="1">
      <c r="B861" s="10"/>
      <c r="D861" s="10"/>
      <c r="E861" s="10"/>
      <c r="I861" s="11"/>
      <c r="J861" s="11"/>
      <c r="K861" s="11"/>
    </row>
    <row r="862" ht="15.75" customHeight="1">
      <c r="B862" s="10"/>
      <c r="D862" s="10"/>
      <c r="E862" s="10"/>
      <c r="I862" s="11"/>
      <c r="J862" s="11"/>
      <c r="K862" s="11"/>
    </row>
    <row r="863" ht="15.75" customHeight="1">
      <c r="B863" s="10"/>
      <c r="D863" s="10"/>
      <c r="E863" s="10"/>
      <c r="I863" s="11"/>
      <c r="J863" s="11"/>
      <c r="K863" s="11"/>
    </row>
    <row r="864" ht="15.75" customHeight="1">
      <c r="B864" s="10"/>
      <c r="D864" s="10"/>
      <c r="E864" s="10"/>
      <c r="I864" s="11"/>
      <c r="J864" s="11"/>
      <c r="K864" s="11"/>
    </row>
    <row r="865" ht="15.75" customHeight="1">
      <c r="B865" s="10"/>
      <c r="D865" s="10"/>
      <c r="E865" s="10"/>
      <c r="I865" s="11"/>
      <c r="J865" s="11"/>
      <c r="K865" s="11"/>
    </row>
    <row r="866" ht="15.75" customHeight="1">
      <c r="B866" s="10"/>
      <c r="D866" s="10"/>
      <c r="E866" s="10"/>
      <c r="I866" s="11"/>
      <c r="J866" s="11"/>
      <c r="K866" s="11"/>
    </row>
    <row r="867" ht="15.75" customHeight="1">
      <c r="B867" s="10"/>
      <c r="D867" s="10"/>
      <c r="E867" s="10"/>
      <c r="I867" s="11"/>
      <c r="J867" s="11"/>
      <c r="K867" s="11"/>
    </row>
    <row r="868" ht="15.75" customHeight="1">
      <c r="B868" s="10"/>
      <c r="D868" s="10"/>
      <c r="E868" s="10"/>
      <c r="I868" s="11"/>
      <c r="J868" s="11"/>
      <c r="K868" s="11"/>
    </row>
    <row r="869" ht="15.75" customHeight="1">
      <c r="B869" s="10"/>
      <c r="D869" s="10"/>
      <c r="E869" s="10"/>
      <c r="I869" s="11"/>
      <c r="J869" s="11"/>
      <c r="K869" s="11"/>
    </row>
    <row r="870" ht="15.75" customHeight="1">
      <c r="B870" s="10"/>
      <c r="D870" s="10"/>
      <c r="E870" s="10"/>
      <c r="I870" s="11"/>
      <c r="J870" s="11"/>
      <c r="K870" s="11"/>
    </row>
    <row r="871" ht="15.75" customHeight="1">
      <c r="B871" s="10"/>
      <c r="D871" s="10"/>
      <c r="E871" s="10"/>
      <c r="I871" s="11"/>
      <c r="J871" s="11"/>
      <c r="K871" s="11"/>
    </row>
    <row r="872" ht="15.75" customHeight="1">
      <c r="B872" s="10"/>
      <c r="D872" s="10"/>
      <c r="E872" s="10"/>
      <c r="I872" s="11"/>
      <c r="J872" s="11"/>
      <c r="K872" s="11"/>
    </row>
    <row r="873" ht="15.75" customHeight="1">
      <c r="B873" s="10"/>
      <c r="D873" s="10"/>
      <c r="E873" s="10"/>
      <c r="I873" s="11"/>
      <c r="J873" s="11"/>
      <c r="K873" s="11"/>
    </row>
    <row r="874" ht="15.75" customHeight="1">
      <c r="B874" s="10"/>
      <c r="D874" s="10"/>
      <c r="E874" s="10"/>
      <c r="I874" s="11"/>
      <c r="J874" s="11"/>
      <c r="K874" s="11"/>
    </row>
    <row r="875" ht="15.75" customHeight="1">
      <c r="B875" s="10"/>
      <c r="D875" s="10"/>
      <c r="E875" s="10"/>
      <c r="I875" s="11"/>
      <c r="J875" s="11"/>
      <c r="K875" s="11"/>
    </row>
    <row r="876" ht="15.75" customHeight="1">
      <c r="B876" s="10"/>
      <c r="D876" s="10"/>
      <c r="E876" s="10"/>
      <c r="I876" s="11"/>
      <c r="J876" s="11"/>
      <c r="K876" s="11"/>
    </row>
    <row r="877" ht="15.75" customHeight="1">
      <c r="B877" s="10"/>
      <c r="D877" s="10"/>
      <c r="E877" s="10"/>
      <c r="I877" s="11"/>
      <c r="J877" s="11"/>
      <c r="K877" s="11"/>
    </row>
    <row r="878" ht="15.75" customHeight="1">
      <c r="B878" s="10"/>
      <c r="D878" s="10"/>
      <c r="E878" s="10"/>
      <c r="I878" s="11"/>
      <c r="J878" s="11"/>
      <c r="K878" s="11"/>
    </row>
    <row r="879" ht="15.75" customHeight="1">
      <c r="B879" s="10"/>
      <c r="D879" s="10"/>
      <c r="E879" s="10"/>
      <c r="I879" s="11"/>
      <c r="J879" s="11"/>
      <c r="K879" s="11"/>
    </row>
    <row r="880" ht="15.75" customHeight="1">
      <c r="B880" s="10"/>
      <c r="D880" s="10"/>
      <c r="E880" s="10"/>
      <c r="I880" s="11"/>
      <c r="J880" s="11"/>
      <c r="K880" s="11"/>
    </row>
    <row r="881" ht="15.75" customHeight="1">
      <c r="B881" s="10"/>
      <c r="D881" s="10"/>
      <c r="E881" s="10"/>
      <c r="I881" s="11"/>
      <c r="J881" s="11"/>
      <c r="K881" s="11"/>
    </row>
    <row r="882" ht="15.75" customHeight="1">
      <c r="B882" s="10"/>
      <c r="D882" s="10"/>
      <c r="E882" s="10"/>
      <c r="I882" s="11"/>
      <c r="J882" s="11"/>
      <c r="K882" s="11"/>
    </row>
    <row r="883" ht="15.75" customHeight="1">
      <c r="B883" s="10"/>
      <c r="D883" s="10"/>
      <c r="E883" s="10"/>
      <c r="I883" s="11"/>
      <c r="J883" s="11"/>
      <c r="K883" s="11"/>
    </row>
    <row r="884" ht="15.75" customHeight="1">
      <c r="B884" s="10"/>
      <c r="D884" s="10"/>
      <c r="E884" s="10"/>
      <c r="I884" s="11"/>
      <c r="J884" s="11"/>
      <c r="K884" s="11"/>
    </row>
    <row r="885" ht="15.75" customHeight="1">
      <c r="B885" s="10"/>
      <c r="D885" s="10"/>
      <c r="E885" s="10"/>
      <c r="I885" s="11"/>
      <c r="J885" s="11"/>
      <c r="K885" s="11"/>
    </row>
    <row r="886" ht="15.75" customHeight="1">
      <c r="B886" s="10"/>
      <c r="D886" s="10"/>
      <c r="E886" s="10"/>
      <c r="I886" s="11"/>
      <c r="J886" s="11"/>
      <c r="K886" s="11"/>
    </row>
    <row r="887" ht="15.75" customHeight="1">
      <c r="B887" s="10"/>
      <c r="D887" s="10"/>
      <c r="E887" s="10"/>
      <c r="I887" s="11"/>
      <c r="J887" s="11"/>
      <c r="K887" s="11"/>
    </row>
    <row r="888" ht="15.75" customHeight="1">
      <c r="B888" s="10"/>
      <c r="D888" s="10"/>
      <c r="E888" s="10"/>
      <c r="I888" s="11"/>
      <c r="J888" s="11"/>
      <c r="K888" s="11"/>
    </row>
    <row r="889" ht="15.75" customHeight="1">
      <c r="B889" s="10"/>
      <c r="D889" s="10"/>
      <c r="E889" s="10"/>
      <c r="I889" s="11"/>
      <c r="J889" s="11"/>
      <c r="K889" s="11"/>
    </row>
    <row r="890" ht="15.75" customHeight="1">
      <c r="B890" s="10"/>
      <c r="D890" s="10"/>
      <c r="E890" s="10"/>
      <c r="I890" s="11"/>
      <c r="J890" s="11"/>
      <c r="K890" s="11"/>
    </row>
    <row r="891" ht="15.75" customHeight="1">
      <c r="B891" s="10"/>
      <c r="D891" s="10"/>
      <c r="E891" s="10"/>
      <c r="I891" s="11"/>
      <c r="J891" s="11"/>
      <c r="K891" s="11"/>
    </row>
    <row r="892" ht="15.75" customHeight="1">
      <c r="B892" s="10"/>
      <c r="D892" s="10"/>
      <c r="E892" s="10"/>
      <c r="I892" s="11"/>
      <c r="J892" s="11"/>
      <c r="K892" s="11"/>
    </row>
    <row r="893" ht="15.75" customHeight="1">
      <c r="B893" s="10"/>
      <c r="D893" s="10"/>
      <c r="E893" s="10"/>
      <c r="I893" s="11"/>
      <c r="J893" s="11"/>
      <c r="K893" s="11"/>
    </row>
    <row r="894" ht="15.75" customHeight="1">
      <c r="B894" s="10"/>
      <c r="D894" s="10"/>
      <c r="E894" s="10"/>
      <c r="I894" s="11"/>
      <c r="J894" s="11"/>
      <c r="K894" s="11"/>
    </row>
    <row r="895" ht="15.75" customHeight="1">
      <c r="B895" s="10"/>
      <c r="D895" s="10"/>
      <c r="E895" s="10"/>
      <c r="I895" s="11"/>
      <c r="J895" s="11"/>
      <c r="K895" s="11"/>
    </row>
    <row r="896" ht="15.75" customHeight="1">
      <c r="B896" s="10"/>
      <c r="D896" s="10"/>
      <c r="E896" s="10"/>
      <c r="I896" s="11"/>
      <c r="J896" s="11"/>
      <c r="K896" s="11"/>
    </row>
    <row r="897" ht="15.75" customHeight="1">
      <c r="B897" s="10"/>
      <c r="D897" s="10"/>
      <c r="E897" s="10"/>
      <c r="I897" s="11"/>
      <c r="J897" s="11"/>
      <c r="K897" s="11"/>
    </row>
    <row r="898" ht="15.75" customHeight="1">
      <c r="B898" s="10"/>
      <c r="D898" s="10"/>
      <c r="E898" s="10"/>
      <c r="I898" s="11"/>
      <c r="J898" s="11"/>
      <c r="K898" s="11"/>
    </row>
    <row r="899" ht="15.75" customHeight="1">
      <c r="B899" s="10"/>
      <c r="D899" s="10"/>
      <c r="E899" s="10"/>
      <c r="I899" s="11"/>
      <c r="J899" s="11"/>
      <c r="K899" s="11"/>
    </row>
    <row r="900" ht="15.75" customHeight="1">
      <c r="B900" s="10"/>
      <c r="D900" s="10"/>
      <c r="E900" s="10"/>
      <c r="I900" s="11"/>
      <c r="J900" s="11"/>
      <c r="K900" s="11"/>
    </row>
    <row r="901" ht="15.75" customHeight="1">
      <c r="B901" s="10"/>
      <c r="D901" s="10"/>
      <c r="E901" s="10"/>
      <c r="I901" s="11"/>
      <c r="J901" s="11"/>
      <c r="K901" s="11"/>
    </row>
    <row r="902" ht="15.75" customHeight="1">
      <c r="B902" s="10"/>
      <c r="D902" s="10"/>
      <c r="E902" s="10"/>
      <c r="I902" s="11"/>
      <c r="J902" s="11"/>
      <c r="K902" s="11"/>
    </row>
    <row r="903" ht="15.75" customHeight="1">
      <c r="B903" s="10"/>
      <c r="D903" s="10"/>
      <c r="E903" s="10"/>
      <c r="I903" s="11"/>
      <c r="J903" s="11"/>
      <c r="K903" s="11"/>
    </row>
    <row r="904" ht="15.75" customHeight="1">
      <c r="B904" s="10"/>
      <c r="D904" s="10"/>
      <c r="E904" s="10"/>
      <c r="I904" s="11"/>
      <c r="J904" s="11"/>
      <c r="K904" s="11"/>
    </row>
    <row r="905" ht="15.75" customHeight="1">
      <c r="B905" s="10"/>
      <c r="D905" s="10"/>
      <c r="E905" s="10"/>
      <c r="I905" s="11"/>
      <c r="J905" s="11"/>
      <c r="K905" s="11"/>
    </row>
    <row r="906" ht="15.75" customHeight="1">
      <c r="B906" s="10"/>
      <c r="D906" s="10"/>
      <c r="E906" s="10"/>
      <c r="I906" s="11"/>
      <c r="J906" s="11"/>
      <c r="K906" s="11"/>
    </row>
    <row r="907" ht="15.75" customHeight="1">
      <c r="B907" s="10"/>
      <c r="D907" s="10"/>
      <c r="E907" s="10"/>
      <c r="I907" s="11"/>
      <c r="J907" s="11"/>
      <c r="K907" s="11"/>
    </row>
    <row r="908" ht="15.75" customHeight="1">
      <c r="B908" s="10"/>
      <c r="D908" s="10"/>
      <c r="E908" s="10"/>
      <c r="I908" s="11"/>
      <c r="J908" s="11"/>
      <c r="K908" s="11"/>
    </row>
    <row r="909" ht="15.75" customHeight="1">
      <c r="B909" s="10"/>
      <c r="D909" s="10"/>
      <c r="E909" s="10"/>
      <c r="I909" s="11"/>
      <c r="J909" s="11"/>
      <c r="K909" s="11"/>
    </row>
    <row r="910" ht="15.75" customHeight="1">
      <c r="B910" s="10"/>
      <c r="D910" s="10"/>
      <c r="E910" s="10"/>
      <c r="I910" s="11"/>
      <c r="J910" s="11"/>
      <c r="K910" s="11"/>
    </row>
    <row r="911" ht="15.75" customHeight="1">
      <c r="B911" s="10"/>
      <c r="D911" s="10"/>
      <c r="E911" s="10"/>
      <c r="I911" s="11"/>
      <c r="J911" s="11"/>
      <c r="K911" s="11"/>
    </row>
    <row r="912" ht="15.75" customHeight="1">
      <c r="B912" s="10"/>
      <c r="D912" s="10"/>
      <c r="E912" s="10"/>
      <c r="I912" s="11"/>
      <c r="J912" s="11"/>
      <c r="K912" s="11"/>
    </row>
    <row r="913" ht="15.75" customHeight="1">
      <c r="B913" s="10"/>
      <c r="D913" s="10"/>
      <c r="E913" s="10"/>
      <c r="I913" s="11"/>
      <c r="J913" s="11"/>
      <c r="K913" s="11"/>
    </row>
    <row r="914" ht="15.75" customHeight="1">
      <c r="B914" s="10"/>
      <c r="D914" s="10"/>
      <c r="E914" s="10"/>
      <c r="I914" s="11"/>
      <c r="J914" s="11"/>
      <c r="K914" s="11"/>
    </row>
    <row r="915" ht="15.75" customHeight="1">
      <c r="B915" s="10"/>
      <c r="D915" s="10"/>
      <c r="E915" s="10"/>
      <c r="I915" s="11"/>
      <c r="J915" s="11"/>
      <c r="K915" s="11"/>
    </row>
    <row r="916" ht="15.75" customHeight="1">
      <c r="B916" s="10"/>
      <c r="D916" s="10"/>
      <c r="E916" s="10"/>
      <c r="I916" s="11"/>
      <c r="J916" s="11"/>
      <c r="K916" s="11"/>
    </row>
    <row r="917" ht="15.75" customHeight="1">
      <c r="B917" s="10"/>
      <c r="D917" s="10"/>
      <c r="E917" s="10"/>
      <c r="I917" s="11"/>
      <c r="J917" s="11"/>
      <c r="K917" s="11"/>
    </row>
    <row r="918" ht="15.75" customHeight="1">
      <c r="B918" s="10"/>
      <c r="D918" s="10"/>
      <c r="E918" s="10"/>
      <c r="I918" s="11"/>
      <c r="J918" s="11"/>
      <c r="K918" s="11"/>
    </row>
    <row r="919" ht="15.75" customHeight="1">
      <c r="B919" s="10"/>
      <c r="D919" s="10"/>
      <c r="E919" s="10"/>
      <c r="I919" s="11"/>
      <c r="J919" s="11"/>
      <c r="K919" s="11"/>
    </row>
    <row r="920" ht="15.75" customHeight="1">
      <c r="B920" s="10"/>
      <c r="D920" s="10"/>
      <c r="E920" s="10"/>
      <c r="I920" s="11"/>
      <c r="J920" s="11"/>
      <c r="K920" s="11"/>
    </row>
    <row r="921" ht="15.75" customHeight="1">
      <c r="B921" s="10"/>
      <c r="D921" s="10"/>
      <c r="E921" s="10"/>
      <c r="I921" s="11"/>
      <c r="J921" s="11"/>
      <c r="K921" s="11"/>
    </row>
    <row r="922" ht="15.75" customHeight="1">
      <c r="B922" s="10"/>
      <c r="D922" s="10"/>
      <c r="E922" s="10"/>
      <c r="I922" s="11"/>
      <c r="J922" s="11"/>
      <c r="K922" s="11"/>
    </row>
    <row r="923" ht="15.75" customHeight="1">
      <c r="B923" s="10"/>
      <c r="D923" s="10"/>
      <c r="E923" s="10"/>
      <c r="I923" s="11"/>
      <c r="J923" s="11"/>
      <c r="K923" s="11"/>
    </row>
    <row r="924" ht="15.75" customHeight="1">
      <c r="B924" s="10"/>
      <c r="D924" s="10"/>
      <c r="E924" s="10"/>
      <c r="I924" s="11"/>
      <c r="J924" s="11"/>
      <c r="K924" s="11"/>
    </row>
    <row r="925" ht="15.75" customHeight="1">
      <c r="B925" s="10"/>
      <c r="D925" s="10"/>
      <c r="E925" s="10"/>
      <c r="I925" s="11"/>
      <c r="J925" s="11"/>
      <c r="K925" s="11"/>
    </row>
    <row r="926" ht="15.75" customHeight="1">
      <c r="B926" s="10"/>
      <c r="D926" s="10"/>
      <c r="E926" s="10"/>
      <c r="I926" s="11"/>
      <c r="J926" s="11"/>
      <c r="K926" s="11"/>
    </row>
    <row r="927" ht="15.75" customHeight="1">
      <c r="B927" s="10"/>
      <c r="D927" s="10"/>
      <c r="E927" s="10"/>
      <c r="I927" s="11"/>
      <c r="J927" s="11"/>
      <c r="K927" s="11"/>
    </row>
    <row r="928" ht="15.75" customHeight="1">
      <c r="B928" s="10"/>
      <c r="D928" s="10"/>
      <c r="E928" s="10"/>
      <c r="I928" s="11"/>
      <c r="J928" s="11"/>
      <c r="K928" s="11"/>
    </row>
    <row r="929" ht="15.75" customHeight="1">
      <c r="B929" s="10"/>
      <c r="D929" s="10"/>
      <c r="E929" s="10"/>
      <c r="I929" s="11"/>
      <c r="J929" s="11"/>
      <c r="K929" s="11"/>
    </row>
    <row r="930" ht="15.75" customHeight="1">
      <c r="B930" s="10"/>
      <c r="D930" s="10"/>
      <c r="E930" s="10"/>
      <c r="I930" s="11"/>
      <c r="J930" s="11"/>
      <c r="K930" s="11"/>
    </row>
    <row r="931" ht="15.75" customHeight="1">
      <c r="B931" s="10"/>
      <c r="D931" s="10"/>
      <c r="E931" s="10"/>
      <c r="I931" s="11"/>
      <c r="J931" s="11"/>
      <c r="K931" s="11"/>
    </row>
    <row r="932" ht="15.75" customHeight="1">
      <c r="B932" s="10"/>
      <c r="D932" s="10"/>
      <c r="E932" s="10"/>
      <c r="I932" s="11"/>
      <c r="J932" s="11"/>
      <c r="K932" s="11"/>
    </row>
    <row r="933" ht="15.75" customHeight="1">
      <c r="B933" s="10"/>
      <c r="D933" s="10"/>
      <c r="E933" s="10"/>
      <c r="I933" s="11"/>
      <c r="J933" s="11"/>
      <c r="K933" s="11"/>
    </row>
    <row r="934" ht="15.75" customHeight="1">
      <c r="B934" s="10"/>
      <c r="D934" s="10"/>
      <c r="E934" s="10"/>
      <c r="I934" s="11"/>
      <c r="J934" s="11"/>
      <c r="K934" s="11"/>
    </row>
    <row r="935" ht="15.75" customHeight="1">
      <c r="B935" s="10"/>
      <c r="D935" s="10"/>
      <c r="E935" s="10"/>
      <c r="I935" s="11"/>
      <c r="J935" s="11"/>
      <c r="K935" s="11"/>
    </row>
    <row r="936" ht="15.75" customHeight="1">
      <c r="B936" s="10"/>
      <c r="D936" s="10"/>
      <c r="E936" s="10"/>
      <c r="I936" s="11"/>
      <c r="J936" s="11"/>
      <c r="K936" s="11"/>
    </row>
    <row r="937" ht="15.75" customHeight="1">
      <c r="B937" s="10"/>
      <c r="D937" s="10"/>
      <c r="E937" s="10"/>
      <c r="I937" s="11"/>
      <c r="J937" s="11"/>
      <c r="K937" s="11"/>
    </row>
    <row r="938" ht="15.75" customHeight="1">
      <c r="B938" s="10"/>
      <c r="D938" s="10"/>
      <c r="E938" s="10"/>
      <c r="I938" s="11"/>
      <c r="J938" s="11"/>
      <c r="K938" s="11"/>
    </row>
    <row r="939" ht="15.75" customHeight="1">
      <c r="B939" s="10"/>
      <c r="D939" s="10"/>
      <c r="E939" s="10"/>
      <c r="I939" s="11"/>
      <c r="J939" s="11"/>
      <c r="K939" s="11"/>
    </row>
    <row r="940" ht="15.75" customHeight="1">
      <c r="B940" s="10"/>
      <c r="D940" s="10"/>
      <c r="E940" s="10"/>
      <c r="I940" s="11"/>
      <c r="J940" s="11"/>
      <c r="K940" s="11"/>
    </row>
    <row r="941" ht="15.75" customHeight="1">
      <c r="B941" s="10"/>
      <c r="D941" s="10"/>
      <c r="E941" s="10"/>
      <c r="I941" s="11"/>
      <c r="J941" s="11"/>
      <c r="K941" s="11"/>
    </row>
    <row r="942" ht="15.75" customHeight="1">
      <c r="B942" s="10"/>
      <c r="D942" s="10"/>
      <c r="E942" s="10"/>
      <c r="I942" s="11"/>
      <c r="J942" s="11"/>
      <c r="K942" s="11"/>
    </row>
    <row r="943" ht="15.75" customHeight="1">
      <c r="B943" s="10"/>
      <c r="D943" s="10"/>
      <c r="E943" s="10"/>
      <c r="I943" s="11"/>
      <c r="J943" s="11"/>
      <c r="K943" s="11"/>
    </row>
    <row r="944" ht="15.75" customHeight="1">
      <c r="B944" s="10"/>
      <c r="D944" s="10"/>
      <c r="E944" s="10"/>
      <c r="I944" s="11"/>
      <c r="J944" s="11"/>
      <c r="K944" s="11"/>
    </row>
    <row r="945" ht="15.75" customHeight="1">
      <c r="B945" s="10"/>
      <c r="D945" s="10"/>
      <c r="E945" s="10"/>
      <c r="I945" s="11"/>
      <c r="J945" s="11"/>
      <c r="K945" s="11"/>
    </row>
    <row r="946" ht="15.75" customHeight="1">
      <c r="B946" s="10"/>
      <c r="D946" s="10"/>
      <c r="E946" s="10"/>
      <c r="I946" s="11"/>
      <c r="J946" s="11"/>
      <c r="K946" s="11"/>
    </row>
    <row r="947" ht="15.75" customHeight="1">
      <c r="B947" s="10"/>
      <c r="D947" s="10"/>
      <c r="E947" s="10"/>
      <c r="I947" s="11"/>
      <c r="J947" s="11"/>
      <c r="K947" s="11"/>
    </row>
    <row r="948" ht="15.75" customHeight="1">
      <c r="B948" s="10"/>
      <c r="D948" s="10"/>
      <c r="E948" s="10"/>
      <c r="I948" s="11"/>
      <c r="J948" s="11"/>
      <c r="K948" s="11"/>
    </row>
    <row r="949" ht="15.75" customHeight="1">
      <c r="B949" s="10"/>
      <c r="D949" s="10"/>
      <c r="E949" s="10"/>
      <c r="I949" s="11"/>
      <c r="J949" s="11"/>
      <c r="K949" s="11"/>
    </row>
    <row r="950" ht="15.75" customHeight="1">
      <c r="B950" s="10"/>
      <c r="D950" s="10"/>
      <c r="E950" s="10"/>
      <c r="I950" s="11"/>
      <c r="J950" s="11"/>
      <c r="K950" s="11"/>
    </row>
    <row r="951" ht="15.75" customHeight="1">
      <c r="B951" s="10"/>
      <c r="D951" s="10"/>
      <c r="E951" s="10"/>
      <c r="I951" s="11"/>
      <c r="J951" s="11"/>
      <c r="K951" s="11"/>
    </row>
    <row r="952" ht="15.75" customHeight="1">
      <c r="B952" s="10"/>
      <c r="D952" s="10"/>
      <c r="E952" s="10"/>
      <c r="I952" s="11"/>
      <c r="J952" s="11"/>
      <c r="K952" s="11"/>
    </row>
    <row r="953" ht="15.75" customHeight="1">
      <c r="B953" s="10"/>
      <c r="D953" s="10"/>
      <c r="E953" s="10"/>
      <c r="I953" s="11"/>
      <c r="J953" s="11"/>
      <c r="K953" s="11"/>
    </row>
    <row r="954" ht="15.75" customHeight="1">
      <c r="B954" s="10"/>
      <c r="D954" s="10"/>
      <c r="E954" s="10"/>
      <c r="I954" s="11"/>
      <c r="J954" s="11"/>
      <c r="K954" s="11"/>
    </row>
    <row r="955" ht="15.75" customHeight="1">
      <c r="B955" s="10"/>
      <c r="D955" s="10"/>
      <c r="E955" s="10"/>
      <c r="I955" s="11"/>
      <c r="J955" s="11"/>
      <c r="K955" s="11"/>
    </row>
    <row r="956" ht="15.75" customHeight="1">
      <c r="B956" s="10"/>
      <c r="D956" s="10"/>
      <c r="E956" s="10"/>
      <c r="I956" s="11"/>
      <c r="J956" s="11"/>
      <c r="K956" s="11"/>
    </row>
    <row r="957" ht="15.75" customHeight="1">
      <c r="B957" s="10"/>
      <c r="D957" s="10"/>
      <c r="E957" s="10"/>
      <c r="I957" s="11"/>
      <c r="J957" s="11"/>
      <c r="K957" s="11"/>
    </row>
    <row r="958" ht="15.75" customHeight="1">
      <c r="B958" s="10"/>
      <c r="D958" s="10"/>
      <c r="E958" s="10"/>
      <c r="I958" s="11"/>
      <c r="J958" s="11"/>
      <c r="K958" s="11"/>
    </row>
    <row r="959" ht="15.75" customHeight="1">
      <c r="B959" s="10"/>
      <c r="D959" s="10"/>
      <c r="E959" s="10"/>
      <c r="I959" s="11"/>
      <c r="J959" s="11"/>
      <c r="K959" s="11"/>
    </row>
    <row r="960" ht="15.75" customHeight="1">
      <c r="B960" s="10"/>
      <c r="D960" s="10"/>
      <c r="E960" s="10"/>
      <c r="I960" s="11"/>
      <c r="J960" s="11"/>
      <c r="K960" s="11"/>
    </row>
    <row r="961" ht="15.75" customHeight="1">
      <c r="B961" s="10"/>
      <c r="D961" s="10"/>
      <c r="E961" s="10"/>
      <c r="I961" s="11"/>
      <c r="J961" s="11"/>
      <c r="K961" s="11"/>
    </row>
    <row r="962" ht="15.75" customHeight="1">
      <c r="B962" s="10"/>
      <c r="D962" s="10"/>
      <c r="E962" s="10"/>
      <c r="I962" s="11"/>
      <c r="J962" s="11"/>
      <c r="K962" s="11"/>
    </row>
    <row r="963" ht="15.75" customHeight="1">
      <c r="B963" s="10"/>
      <c r="D963" s="10"/>
      <c r="E963" s="10"/>
      <c r="I963" s="11"/>
      <c r="J963" s="11"/>
      <c r="K963" s="11"/>
    </row>
    <row r="964" ht="15.75" customHeight="1">
      <c r="B964" s="10"/>
      <c r="D964" s="10"/>
      <c r="E964" s="10"/>
      <c r="I964" s="11"/>
      <c r="J964" s="11"/>
      <c r="K964" s="11"/>
    </row>
    <row r="965" ht="15.75" customHeight="1">
      <c r="B965" s="10"/>
      <c r="D965" s="10"/>
      <c r="E965" s="10"/>
      <c r="I965" s="11"/>
      <c r="J965" s="11"/>
      <c r="K965" s="11"/>
    </row>
    <row r="966" ht="15.75" customHeight="1">
      <c r="B966" s="10"/>
      <c r="D966" s="10"/>
      <c r="E966" s="10"/>
      <c r="I966" s="11"/>
      <c r="J966" s="11"/>
      <c r="K966" s="11"/>
    </row>
    <row r="967" ht="15.75" customHeight="1">
      <c r="B967" s="10"/>
      <c r="D967" s="10"/>
      <c r="E967" s="10"/>
      <c r="I967" s="11"/>
      <c r="J967" s="11"/>
      <c r="K967" s="11"/>
    </row>
    <row r="968" ht="15.75" customHeight="1">
      <c r="B968" s="10"/>
      <c r="D968" s="10"/>
      <c r="E968" s="10"/>
      <c r="I968" s="11"/>
      <c r="J968" s="11"/>
      <c r="K968" s="11"/>
    </row>
    <row r="969" ht="15.75" customHeight="1">
      <c r="B969" s="10"/>
      <c r="D969" s="10"/>
      <c r="E969" s="10"/>
      <c r="I969" s="11"/>
      <c r="J969" s="11"/>
      <c r="K969" s="11"/>
    </row>
    <row r="970" ht="15.75" customHeight="1">
      <c r="B970" s="10"/>
      <c r="D970" s="10"/>
      <c r="E970" s="10"/>
      <c r="I970" s="11"/>
      <c r="J970" s="11"/>
      <c r="K970" s="11"/>
    </row>
    <row r="971" ht="15.75" customHeight="1">
      <c r="B971" s="10"/>
      <c r="D971" s="10"/>
      <c r="E971" s="10"/>
      <c r="I971" s="11"/>
      <c r="J971" s="11"/>
      <c r="K971" s="11"/>
    </row>
    <row r="972" ht="15.75" customHeight="1">
      <c r="B972" s="10"/>
      <c r="D972" s="10"/>
      <c r="E972" s="10"/>
      <c r="I972" s="11"/>
      <c r="J972" s="11"/>
      <c r="K972" s="11"/>
    </row>
    <row r="973" ht="15.75" customHeight="1">
      <c r="B973" s="10"/>
      <c r="D973" s="10"/>
      <c r="E973" s="10"/>
      <c r="I973" s="11"/>
      <c r="J973" s="11"/>
      <c r="K973" s="11"/>
    </row>
    <row r="974" ht="15.75" customHeight="1">
      <c r="B974" s="10"/>
      <c r="D974" s="10"/>
      <c r="E974" s="10"/>
      <c r="I974" s="11"/>
      <c r="J974" s="11"/>
      <c r="K974" s="11"/>
    </row>
    <row r="975" ht="15.75" customHeight="1">
      <c r="B975" s="10"/>
      <c r="D975" s="10"/>
      <c r="E975" s="10"/>
      <c r="I975" s="11"/>
      <c r="J975" s="11"/>
      <c r="K975" s="11"/>
    </row>
    <row r="976" ht="15.75" customHeight="1">
      <c r="B976" s="10"/>
      <c r="D976" s="10"/>
      <c r="E976" s="10"/>
      <c r="I976" s="11"/>
      <c r="J976" s="11"/>
      <c r="K976" s="11"/>
    </row>
    <row r="977" ht="15.75" customHeight="1">
      <c r="B977" s="10"/>
      <c r="D977" s="10"/>
      <c r="E977" s="10"/>
      <c r="I977" s="11"/>
      <c r="J977" s="11"/>
      <c r="K977" s="11"/>
    </row>
    <row r="978" ht="15.75" customHeight="1">
      <c r="B978" s="10"/>
      <c r="D978" s="10"/>
      <c r="E978" s="10"/>
      <c r="I978" s="11"/>
      <c r="J978" s="11"/>
      <c r="K978" s="11"/>
    </row>
    <row r="979" ht="15.75" customHeight="1">
      <c r="B979" s="10"/>
      <c r="D979" s="10"/>
      <c r="E979" s="10"/>
      <c r="I979" s="11"/>
      <c r="J979" s="11"/>
      <c r="K979" s="11"/>
    </row>
    <row r="980" ht="15.75" customHeight="1">
      <c r="B980" s="10"/>
      <c r="D980" s="10"/>
      <c r="E980" s="10"/>
      <c r="I980" s="11"/>
      <c r="J980" s="11"/>
      <c r="K980" s="11"/>
    </row>
    <row r="981" ht="15.75" customHeight="1">
      <c r="B981" s="10"/>
      <c r="D981" s="10"/>
      <c r="E981" s="10"/>
      <c r="I981" s="11"/>
      <c r="J981" s="11"/>
      <c r="K981" s="11"/>
    </row>
    <row r="982" ht="15.75" customHeight="1">
      <c r="B982" s="10"/>
      <c r="D982" s="10"/>
      <c r="E982" s="10"/>
      <c r="I982" s="11"/>
      <c r="J982" s="11"/>
      <c r="K982" s="11"/>
    </row>
    <row r="983" ht="15.75" customHeight="1">
      <c r="B983" s="10"/>
      <c r="D983" s="10"/>
      <c r="E983" s="10"/>
      <c r="I983" s="11"/>
      <c r="J983" s="11"/>
      <c r="K983" s="11"/>
    </row>
    <row r="984" ht="15.75" customHeight="1">
      <c r="B984" s="10"/>
      <c r="D984" s="10"/>
      <c r="E984" s="10"/>
      <c r="I984" s="11"/>
      <c r="J984" s="11"/>
      <c r="K984" s="11"/>
    </row>
    <row r="985" ht="15.75" customHeight="1">
      <c r="B985" s="10"/>
      <c r="D985" s="10"/>
      <c r="E985" s="10"/>
      <c r="I985" s="11"/>
      <c r="J985" s="11"/>
      <c r="K985" s="11"/>
    </row>
    <row r="986" ht="15.75" customHeight="1">
      <c r="B986" s="10"/>
      <c r="D986" s="10"/>
      <c r="E986" s="10"/>
      <c r="I986" s="11"/>
      <c r="J986" s="11"/>
      <c r="K986" s="11"/>
    </row>
    <row r="987" ht="15.75" customHeight="1">
      <c r="B987" s="10"/>
      <c r="D987" s="10"/>
      <c r="E987" s="10"/>
      <c r="I987" s="11"/>
      <c r="J987" s="11"/>
      <c r="K987" s="11"/>
    </row>
    <row r="988" ht="15.75" customHeight="1">
      <c r="B988" s="10"/>
      <c r="D988" s="10"/>
      <c r="E988" s="10"/>
      <c r="I988" s="11"/>
      <c r="J988" s="11"/>
      <c r="K988" s="11"/>
    </row>
    <row r="989" ht="15.75" customHeight="1">
      <c r="B989" s="10"/>
      <c r="D989" s="10"/>
      <c r="E989" s="10"/>
      <c r="I989" s="11"/>
      <c r="J989" s="11"/>
      <c r="K989" s="11"/>
    </row>
    <row r="990" ht="15.75" customHeight="1">
      <c r="B990" s="10"/>
      <c r="D990" s="10"/>
      <c r="E990" s="10"/>
      <c r="I990" s="11"/>
      <c r="J990" s="11"/>
      <c r="K990" s="11"/>
    </row>
    <row r="991" ht="15.75" customHeight="1">
      <c r="B991" s="10"/>
      <c r="D991" s="10"/>
      <c r="E991" s="10"/>
      <c r="I991" s="11"/>
      <c r="J991" s="11"/>
      <c r="K991" s="11"/>
    </row>
    <row r="992" ht="15.75" customHeight="1">
      <c r="B992" s="10"/>
      <c r="D992" s="10"/>
      <c r="E992" s="10"/>
      <c r="I992" s="11"/>
      <c r="J992" s="11"/>
      <c r="K992" s="11"/>
    </row>
    <row r="993" ht="15.75" customHeight="1">
      <c r="B993" s="10"/>
      <c r="D993" s="10"/>
      <c r="E993" s="10"/>
      <c r="I993" s="11"/>
      <c r="J993" s="11"/>
      <c r="K993" s="11"/>
    </row>
    <row r="994" ht="15.75" customHeight="1">
      <c r="B994" s="10"/>
      <c r="D994" s="10"/>
      <c r="E994" s="10"/>
      <c r="I994" s="11"/>
      <c r="J994" s="11"/>
      <c r="K994" s="11"/>
    </row>
    <row r="995" ht="15.75" customHeight="1">
      <c r="B995" s="10"/>
      <c r="D995" s="10"/>
      <c r="E995" s="10"/>
      <c r="I995" s="11"/>
      <c r="J995" s="11"/>
      <c r="K995" s="11"/>
    </row>
    <row r="996" ht="15.75" customHeight="1">
      <c r="B996" s="10"/>
      <c r="D996" s="10"/>
      <c r="E996" s="10"/>
      <c r="I996" s="11"/>
      <c r="J996" s="11"/>
      <c r="K996" s="11"/>
    </row>
    <row r="997" ht="15.75" customHeight="1">
      <c r="B997" s="10"/>
      <c r="D997" s="10"/>
      <c r="E997" s="10"/>
      <c r="I997" s="11"/>
      <c r="J997" s="11"/>
      <c r="K997" s="11"/>
    </row>
    <row r="998" ht="15.75" customHeight="1">
      <c r="B998" s="10"/>
      <c r="D998" s="10"/>
      <c r="E998" s="10"/>
      <c r="I998" s="11"/>
      <c r="J998" s="11"/>
      <c r="K998" s="11"/>
    </row>
    <row r="999" ht="15.75" customHeight="1">
      <c r="B999" s="10"/>
      <c r="D999" s="10"/>
      <c r="E999" s="10"/>
      <c r="I999" s="11"/>
      <c r="J999" s="11"/>
      <c r="K999" s="11"/>
    </row>
    <row r="1000" ht="15.75" customHeight="1">
      <c r="B1000" s="10"/>
      <c r="D1000" s="10"/>
      <c r="E1000" s="10"/>
      <c r="I1000" s="11"/>
      <c r="J1000" s="11"/>
      <c r="K1000" s="11"/>
    </row>
    <row r="1001" ht="15.75" customHeight="1">
      <c r="B1001" s="10"/>
      <c r="D1001" s="10"/>
      <c r="E1001" s="10"/>
      <c r="I1001" s="11"/>
      <c r="J1001" s="11"/>
      <c r="K1001" s="11"/>
    </row>
    <row r="1002" ht="15.75" customHeight="1">
      <c r="B1002" s="10"/>
      <c r="D1002" s="10"/>
      <c r="E1002" s="10"/>
      <c r="I1002" s="11"/>
      <c r="J1002" s="11"/>
      <c r="K1002" s="11"/>
    </row>
    <row r="1003" ht="15.75" customHeight="1">
      <c r="B1003" s="10"/>
      <c r="D1003" s="10"/>
      <c r="E1003" s="10"/>
      <c r="I1003" s="11"/>
      <c r="J1003" s="11"/>
      <c r="K1003" s="11"/>
    </row>
    <row r="1004" ht="15.75" customHeight="1">
      <c r="B1004" s="10"/>
      <c r="D1004" s="10"/>
      <c r="E1004" s="10"/>
      <c r="I1004" s="11"/>
      <c r="J1004" s="11"/>
      <c r="K1004" s="11"/>
    </row>
    <row r="1005" ht="15.75" customHeight="1">
      <c r="B1005" s="10"/>
      <c r="D1005" s="10"/>
      <c r="E1005" s="10"/>
      <c r="I1005" s="11"/>
      <c r="J1005" s="11"/>
      <c r="K1005" s="11"/>
    </row>
    <row r="1006" ht="15.75" customHeight="1">
      <c r="B1006" s="10"/>
      <c r="D1006" s="10"/>
      <c r="E1006" s="10"/>
      <c r="I1006" s="11"/>
      <c r="J1006" s="11"/>
      <c r="K1006" s="11"/>
    </row>
    <row r="1007" ht="15.75" customHeight="1">
      <c r="B1007" s="10"/>
      <c r="D1007" s="10"/>
      <c r="E1007" s="10"/>
      <c r="I1007" s="11"/>
      <c r="J1007" s="11"/>
      <c r="K1007" s="11"/>
    </row>
    <row r="1008" ht="15.75" customHeight="1">
      <c r="B1008" s="10"/>
      <c r="D1008" s="10"/>
      <c r="E1008" s="10"/>
      <c r="I1008" s="11"/>
      <c r="J1008" s="11"/>
      <c r="K1008" s="11"/>
    </row>
    <row r="1009" ht="15.75" customHeight="1">
      <c r="B1009" s="10"/>
      <c r="D1009" s="10"/>
      <c r="E1009" s="10"/>
      <c r="I1009" s="11"/>
      <c r="J1009" s="11"/>
      <c r="K1009" s="11"/>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ht="22.5" customHeight="1">
      <c r="A1" s="1" t="s">
        <v>0</v>
      </c>
      <c r="B1" s="1" t="s">
        <v>1</v>
      </c>
      <c r="C1" s="1" t="s">
        <v>2</v>
      </c>
      <c r="D1" s="2" t="s">
        <v>3</v>
      </c>
      <c r="E1" s="2" t="s">
        <v>4</v>
      </c>
      <c r="F1" s="1" t="s">
        <v>5</v>
      </c>
      <c r="G1" s="1" t="s">
        <v>6</v>
      </c>
      <c r="H1" s="1" t="s">
        <v>7</v>
      </c>
      <c r="I1" s="3" t="s">
        <v>8</v>
      </c>
      <c r="K1" s="1" t="s">
        <v>6</v>
      </c>
      <c r="L1" s="3" t="s">
        <v>9</v>
      </c>
      <c r="M1" s="3" t="s">
        <v>8</v>
      </c>
    </row>
    <row r="2" ht="22.5" customHeight="1">
      <c r="A2" s="4" t="s">
        <v>10</v>
      </c>
      <c r="B2" s="5">
        <v>99999.0</v>
      </c>
      <c r="C2" s="4" t="s">
        <v>11</v>
      </c>
      <c r="D2" s="6" t="s">
        <v>11</v>
      </c>
      <c r="E2" s="6" t="s">
        <v>11</v>
      </c>
      <c r="F2" s="4" t="s">
        <v>11</v>
      </c>
      <c r="G2" s="4" t="s">
        <v>12</v>
      </c>
      <c r="H2" s="4" t="s">
        <v>13</v>
      </c>
      <c r="I2" s="7"/>
      <c r="K2" s="4" t="s">
        <v>14</v>
      </c>
      <c r="L2" s="7">
        <f t="shared" ref="L2:L1009" si="1">countif(K:K,K2)</f>
        <v>6</v>
      </c>
      <c r="M2" s="8" t="str">
        <f t="array" ref="M2:N50">UNIQUE(K2:L615)</f>
        <v>Bandar Lampung</v>
      </c>
      <c r="N2" s="9">
        <v>6.0</v>
      </c>
    </row>
    <row r="3" ht="22.5" customHeight="1">
      <c r="A3" s="4" t="s">
        <v>15</v>
      </c>
      <c r="B3" s="5">
        <v>122400.0</v>
      </c>
      <c r="C3" s="4" t="s">
        <v>11</v>
      </c>
      <c r="D3" s="6" t="s">
        <v>11</v>
      </c>
      <c r="E3" s="6" t="s">
        <v>11</v>
      </c>
      <c r="F3" s="4" t="s">
        <v>11</v>
      </c>
      <c r="G3" s="4" t="s">
        <v>16</v>
      </c>
      <c r="H3" s="4" t="s">
        <v>17</v>
      </c>
      <c r="I3" s="7"/>
      <c r="K3" s="4" t="s">
        <v>14</v>
      </c>
      <c r="L3" s="7">
        <f t="shared" si="1"/>
        <v>6</v>
      </c>
      <c r="M3" s="8" t="s">
        <v>18</v>
      </c>
      <c r="N3" s="9">
        <v>37.0</v>
      </c>
    </row>
    <row r="4" ht="22.5" customHeight="1">
      <c r="A4" s="4" t="s">
        <v>19</v>
      </c>
      <c r="B4" s="5">
        <v>130944.0</v>
      </c>
      <c r="C4" s="4" t="s">
        <v>11</v>
      </c>
      <c r="D4" s="6" t="s">
        <v>11</v>
      </c>
      <c r="E4" s="5">
        <v>3.0</v>
      </c>
      <c r="F4" s="4" t="s">
        <v>11</v>
      </c>
      <c r="G4" s="4" t="s">
        <v>18</v>
      </c>
      <c r="H4" s="4" t="s">
        <v>20</v>
      </c>
      <c r="I4" s="7"/>
      <c r="K4" s="4" t="s">
        <v>14</v>
      </c>
      <c r="L4" s="7">
        <f t="shared" si="1"/>
        <v>6</v>
      </c>
      <c r="M4" s="8" t="s">
        <v>21</v>
      </c>
      <c r="N4" s="9">
        <v>8.0</v>
      </c>
    </row>
    <row r="5" ht="22.5" customHeight="1">
      <c r="A5" s="4" t="s">
        <v>22</v>
      </c>
      <c r="B5" s="5">
        <v>299000.0</v>
      </c>
      <c r="C5" s="4" t="s">
        <v>11</v>
      </c>
      <c r="D5" s="6" t="s">
        <v>11</v>
      </c>
      <c r="E5" s="6" t="s">
        <v>11</v>
      </c>
      <c r="F5" s="4" t="s">
        <v>11</v>
      </c>
      <c r="G5" s="4" t="s">
        <v>23</v>
      </c>
      <c r="H5" s="4" t="s">
        <v>24</v>
      </c>
      <c r="I5" s="7"/>
      <c r="K5" s="4" t="s">
        <v>14</v>
      </c>
      <c r="L5" s="7">
        <f t="shared" si="1"/>
        <v>6</v>
      </c>
      <c r="M5" s="8" t="s">
        <v>25</v>
      </c>
      <c r="N5" s="9">
        <v>2.0</v>
      </c>
    </row>
    <row r="6" ht="22.5" customHeight="1">
      <c r="A6" s="4" t="s">
        <v>26</v>
      </c>
      <c r="B6" s="5">
        <v>308000.0</v>
      </c>
      <c r="C6" s="4" t="s">
        <v>11</v>
      </c>
      <c r="D6" s="6" t="s">
        <v>11</v>
      </c>
      <c r="E6" s="6" t="s">
        <v>11</v>
      </c>
      <c r="F6" s="4" t="s">
        <v>11</v>
      </c>
      <c r="G6" s="4" t="s">
        <v>27</v>
      </c>
      <c r="H6" s="4" t="s">
        <v>28</v>
      </c>
      <c r="I6" s="7"/>
      <c r="K6" s="4" t="s">
        <v>14</v>
      </c>
      <c r="L6" s="7">
        <f t="shared" si="1"/>
        <v>6</v>
      </c>
      <c r="M6" s="8" t="s">
        <v>29</v>
      </c>
      <c r="N6" s="9">
        <v>4.0</v>
      </c>
    </row>
    <row r="7" ht="22.5" customHeight="1">
      <c r="A7" s="4" t="s">
        <v>30</v>
      </c>
      <c r="B7" s="5">
        <v>396000.0</v>
      </c>
      <c r="C7" s="4" t="s">
        <v>11</v>
      </c>
      <c r="D7" s="6" t="s">
        <v>11</v>
      </c>
      <c r="E7" s="6" t="s">
        <v>11</v>
      </c>
      <c r="F7" s="4" t="s">
        <v>11</v>
      </c>
      <c r="G7" s="4" t="s">
        <v>31</v>
      </c>
      <c r="H7" s="4" t="s">
        <v>32</v>
      </c>
      <c r="I7" s="7"/>
      <c r="K7" s="4" t="s">
        <v>14</v>
      </c>
      <c r="L7" s="7">
        <f t="shared" si="1"/>
        <v>6</v>
      </c>
      <c r="M7" s="8" t="s">
        <v>33</v>
      </c>
      <c r="N7" s="9">
        <v>2.0</v>
      </c>
    </row>
    <row r="8" ht="22.5" customHeight="1">
      <c r="A8" s="4" t="s">
        <v>34</v>
      </c>
      <c r="B8" s="5">
        <v>755850.0</v>
      </c>
      <c r="C8" s="4" t="s">
        <v>11</v>
      </c>
      <c r="D8" s="6" t="s">
        <v>11</v>
      </c>
      <c r="E8" s="6" t="s">
        <v>11</v>
      </c>
      <c r="F8" s="4" t="s">
        <v>11</v>
      </c>
      <c r="G8" s="4" t="s">
        <v>35</v>
      </c>
      <c r="H8" s="4" t="s">
        <v>36</v>
      </c>
      <c r="I8" s="7"/>
      <c r="K8" s="4" t="s">
        <v>18</v>
      </c>
      <c r="L8" s="7">
        <f t="shared" si="1"/>
        <v>37</v>
      </c>
      <c r="M8" s="8" t="s">
        <v>37</v>
      </c>
      <c r="N8" s="9">
        <v>23.0</v>
      </c>
    </row>
    <row r="9" ht="22.5" customHeight="1">
      <c r="A9" s="4" t="s">
        <v>38</v>
      </c>
      <c r="B9" s="5">
        <v>82000.0</v>
      </c>
      <c r="C9" s="4" t="s">
        <v>11</v>
      </c>
      <c r="D9" s="6" t="s">
        <v>11</v>
      </c>
      <c r="E9" s="5">
        <v>2.0</v>
      </c>
      <c r="F9" s="4" t="s">
        <v>39</v>
      </c>
      <c r="G9" s="4" t="s">
        <v>12</v>
      </c>
      <c r="H9" s="4" t="s">
        <v>40</v>
      </c>
      <c r="I9" s="7"/>
      <c r="K9" s="4" t="s">
        <v>18</v>
      </c>
      <c r="L9" s="7">
        <f t="shared" si="1"/>
        <v>37</v>
      </c>
      <c r="M9" s="8" t="s">
        <v>41</v>
      </c>
      <c r="N9" s="9">
        <v>131.0</v>
      </c>
    </row>
    <row r="10" ht="22.5" customHeight="1">
      <c r="A10" s="4" t="s">
        <v>42</v>
      </c>
      <c r="B10" s="5">
        <v>152458.0</v>
      </c>
      <c r="C10" s="4" t="s">
        <v>11</v>
      </c>
      <c r="D10" s="6" t="s">
        <v>11</v>
      </c>
      <c r="E10" s="5">
        <v>6.0</v>
      </c>
      <c r="F10" s="4" t="s">
        <v>43</v>
      </c>
      <c r="G10" s="4" t="s">
        <v>16</v>
      </c>
      <c r="H10" s="4" t="s">
        <v>44</v>
      </c>
      <c r="I10" s="7"/>
      <c r="K10" s="4" t="s">
        <v>18</v>
      </c>
      <c r="L10" s="7">
        <f t="shared" si="1"/>
        <v>37</v>
      </c>
      <c r="M10" s="8" t="s">
        <v>45</v>
      </c>
      <c r="N10" s="9">
        <v>6.0</v>
      </c>
    </row>
    <row r="11" ht="22.5" customHeight="1">
      <c r="A11" s="4" t="s">
        <v>46</v>
      </c>
      <c r="B11" s="5">
        <v>145200.0</v>
      </c>
      <c r="C11" s="4" t="s">
        <v>11</v>
      </c>
      <c r="D11" s="6" t="s">
        <v>11</v>
      </c>
      <c r="E11" s="5">
        <v>44.0</v>
      </c>
      <c r="F11" s="4" t="s">
        <v>47</v>
      </c>
      <c r="G11" s="4" t="s">
        <v>35</v>
      </c>
      <c r="H11" s="4" t="s">
        <v>48</v>
      </c>
      <c r="I11" s="7"/>
      <c r="K11" s="4" t="s">
        <v>18</v>
      </c>
      <c r="L11" s="7">
        <f t="shared" si="1"/>
        <v>37</v>
      </c>
      <c r="M11" s="8" t="s">
        <v>49</v>
      </c>
      <c r="N11" s="9">
        <v>21.0</v>
      </c>
    </row>
    <row r="12" ht="22.5" customHeight="1">
      <c r="A12" s="4" t="s">
        <v>50</v>
      </c>
      <c r="B12" s="5">
        <v>160000.0</v>
      </c>
      <c r="C12" s="4" t="s">
        <v>11</v>
      </c>
      <c r="D12" s="6" t="s">
        <v>11</v>
      </c>
      <c r="E12" s="5">
        <v>28.0</v>
      </c>
      <c r="F12" s="4" t="s">
        <v>51</v>
      </c>
      <c r="G12" s="4" t="s">
        <v>18</v>
      </c>
      <c r="H12" s="4" t="s">
        <v>52</v>
      </c>
      <c r="I12" s="7"/>
      <c r="K12" s="4" t="s">
        <v>18</v>
      </c>
      <c r="L12" s="7">
        <f t="shared" si="1"/>
        <v>37</v>
      </c>
      <c r="M12" s="8" t="s">
        <v>53</v>
      </c>
      <c r="N12" s="9">
        <v>7.0</v>
      </c>
    </row>
    <row r="13" ht="22.5" customHeight="1">
      <c r="A13" s="4" t="s">
        <v>54</v>
      </c>
      <c r="B13" s="5">
        <v>152900.0</v>
      </c>
      <c r="C13" s="4" t="s">
        <v>11</v>
      </c>
      <c r="D13" s="6" t="s">
        <v>11</v>
      </c>
      <c r="E13" s="5">
        <v>7.0</v>
      </c>
      <c r="F13" s="4" t="s">
        <v>55</v>
      </c>
      <c r="G13" s="4" t="s">
        <v>35</v>
      </c>
      <c r="H13" s="4" t="s">
        <v>56</v>
      </c>
      <c r="I13" s="7"/>
      <c r="K13" s="4" t="s">
        <v>18</v>
      </c>
      <c r="L13" s="7">
        <f t="shared" si="1"/>
        <v>37</v>
      </c>
      <c r="M13" s="8" t="s">
        <v>57</v>
      </c>
      <c r="N13" s="9">
        <v>15.0</v>
      </c>
    </row>
    <row r="14" ht="22.5" customHeight="1">
      <c r="A14" s="4" t="s">
        <v>58</v>
      </c>
      <c r="B14" s="5">
        <v>96500.0</v>
      </c>
      <c r="C14" s="4" t="s">
        <v>11</v>
      </c>
      <c r="D14" s="6" t="s">
        <v>11</v>
      </c>
      <c r="E14" s="5">
        <v>3.0</v>
      </c>
      <c r="F14" s="4" t="s">
        <v>59</v>
      </c>
      <c r="G14" s="4" t="s">
        <v>41</v>
      </c>
      <c r="H14" s="4" t="s">
        <v>60</v>
      </c>
      <c r="I14" s="7"/>
      <c r="K14" s="4" t="s">
        <v>18</v>
      </c>
      <c r="L14" s="7">
        <f t="shared" si="1"/>
        <v>37</v>
      </c>
      <c r="M14" s="8" t="s">
        <v>61</v>
      </c>
      <c r="N14" s="9">
        <v>1.0</v>
      </c>
    </row>
    <row r="15" ht="22.5" customHeight="1">
      <c r="A15" s="4" t="s">
        <v>62</v>
      </c>
      <c r="B15" s="5">
        <v>115000.0</v>
      </c>
      <c r="C15" s="4" t="s">
        <v>11</v>
      </c>
      <c r="D15" s="6" t="s">
        <v>11</v>
      </c>
      <c r="E15" s="5">
        <v>7.0</v>
      </c>
      <c r="F15" s="4" t="s">
        <v>59</v>
      </c>
      <c r="G15" s="4" t="s">
        <v>18</v>
      </c>
      <c r="H15" s="4" t="s">
        <v>63</v>
      </c>
      <c r="I15" s="7"/>
      <c r="K15" s="4" t="s">
        <v>18</v>
      </c>
      <c r="L15" s="7">
        <f t="shared" si="1"/>
        <v>37</v>
      </c>
      <c r="M15" s="8" t="s">
        <v>64</v>
      </c>
      <c r="N15" s="9">
        <v>10.0</v>
      </c>
    </row>
    <row r="16" ht="22.5" customHeight="1">
      <c r="A16" s="4" t="s">
        <v>65</v>
      </c>
      <c r="B16" s="5">
        <v>335000.0</v>
      </c>
      <c r="C16" s="4" t="s">
        <v>11</v>
      </c>
      <c r="D16" s="6" t="s">
        <v>11</v>
      </c>
      <c r="E16" s="5">
        <v>1.0</v>
      </c>
      <c r="F16" s="4" t="s">
        <v>59</v>
      </c>
      <c r="G16" s="4" t="s">
        <v>66</v>
      </c>
      <c r="H16" s="4" t="s">
        <v>67</v>
      </c>
      <c r="I16" s="7"/>
      <c r="K16" s="4" t="s">
        <v>18</v>
      </c>
      <c r="L16" s="7">
        <f t="shared" si="1"/>
        <v>37</v>
      </c>
      <c r="M16" s="8" t="s">
        <v>68</v>
      </c>
      <c r="N16" s="9">
        <v>1.0</v>
      </c>
    </row>
    <row r="17" ht="22.5" customHeight="1">
      <c r="A17" s="4" t="s">
        <v>69</v>
      </c>
      <c r="B17" s="5">
        <v>45000.0</v>
      </c>
      <c r="C17" s="4" t="s">
        <v>11</v>
      </c>
      <c r="D17" s="6" t="s">
        <v>11</v>
      </c>
      <c r="E17" s="5">
        <v>57.0</v>
      </c>
      <c r="F17" s="4" t="s">
        <v>70</v>
      </c>
      <c r="G17" s="4" t="s">
        <v>71</v>
      </c>
      <c r="H17" s="4" t="s">
        <v>72</v>
      </c>
      <c r="I17" s="7"/>
      <c r="K17" s="4" t="s">
        <v>18</v>
      </c>
      <c r="L17" s="7">
        <f t="shared" si="1"/>
        <v>37</v>
      </c>
      <c r="M17" s="8" t="s">
        <v>73</v>
      </c>
      <c r="N17" s="9">
        <v>1.0</v>
      </c>
    </row>
    <row r="18" ht="22.5" customHeight="1">
      <c r="A18" s="4" t="s">
        <v>74</v>
      </c>
      <c r="B18" s="5">
        <v>145458.0</v>
      </c>
      <c r="C18" s="4" t="s">
        <v>11</v>
      </c>
      <c r="D18" s="6" t="s">
        <v>11</v>
      </c>
      <c r="E18" s="5">
        <v>14.0</v>
      </c>
      <c r="F18" s="4" t="s">
        <v>75</v>
      </c>
      <c r="G18" s="4" t="s">
        <v>35</v>
      </c>
      <c r="H18" s="4" t="s">
        <v>76</v>
      </c>
      <c r="I18" s="7"/>
      <c r="K18" s="4" t="s">
        <v>18</v>
      </c>
      <c r="L18" s="7">
        <f t="shared" si="1"/>
        <v>37</v>
      </c>
      <c r="M18" s="8" t="s">
        <v>77</v>
      </c>
      <c r="N18" s="9">
        <v>1.0</v>
      </c>
    </row>
    <row r="19" ht="22.5" customHeight="1">
      <c r="A19" s="4" t="s">
        <v>78</v>
      </c>
      <c r="B19" s="5">
        <v>99540.0</v>
      </c>
      <c r="C19" s="4" t="s">
        <v>11</v>
      </c>
      <c r="D19" s="6" t="s">
        <v>11</v>
      </c>
      <c r="E19" s="5">
        <v>18.0</v>
      </c>
      <c r="F19" s="4" t="s">
        <v>79</v>
      </c>
      <c r="G19" s="4" t="s">
        <v>12</v>
      </c>
      <c r="H19" s="4" t="s">
        <v>80</v>
      </c>
      <c r="I19" s="7"/>
      <c r="K19" s="4" t="s">
        <v>18</v>
      </c>
      <c r="L19" s="7">
        <f t="shared" si="1"/>
        <v>37</v>
      </c>
      <c r="M19" s="8" t="s">
        <v>81</v>
      </c>
      <c r="N19" s="9">
        <v>1.0</v>
      </c>
    </row>
    <row r="20" ht="22.5" customHeight="1">
      <c r="A20" s="4" t="s">
        <v>82</v>
      </c>
      <c r="B20" s="5">
        <v>117700.0</v>
      </c>
      <c r="C20" s="4" t="s">
        <v>11</v>
      </c>
      <c r="D20" s="6" t="s">
        <v>11</v>
      </c>
      <c r="E20" s="5">
        <v>7.0</v>
      </c>
      <c r="F20" s="4" t="s">
        <v>79</v>
      </c>
      <c r="G20" s="4" t="s">
        <v>83</v>
      </c>
      <c r="H20" s="4" t="s">
        <v>84</v>
      </c>
      <c r="I20" s="7"/>
      <c r="K20" s="4" t="s">
        <v>18</v>
      </c>
      <c r="L20" s="7">
        <f t="shared" si="1"/>
        <v>37</v>
      </c>
      <c r="M20" s="8" t="s">
        <v>85</v>
      </c>
      <c r="N20" s="9">
        <v>1.0</v>
      </c>
    </row>
    <row r="21" ht="22.5" customHeight="1">
      <c r="A21" s="4" t="s">
        <v>86</v>
      </c>
      <c r="B21" s="5">
        <v>124450.0</v>
      </c>
      <c r="C21" s="4" t="s">
        <v>11</v>
      </c>
      <c r="D21" s="6" t="s">
        <v>11</v>
      </c>
      <c r="E21" s="5">
        <v>2000.0</v>
      </c>
      <c r="F21" s="4" t="s">
        <v>79</v>
      </c>
      <c r="G21" s="4" t="s">
        <v>41</v>
      </c>
      <c r="H21" s="4" t="s">
        <v>87</v>
      </c>
      <c r="I21" s="7"/>
      <c r="K21" s="4" t="s">
        <v>18</v>
      </c>
      <c r="L21" s="7">
        <f t="shared" si="1"/>
        <v>37</v>
      </c>
      <c r="M21" s="8" t="s">
        <v>88</v>
      </c>
      <c r="N21" s="9">
        <v>1.0</v>
      </c>
    </row>
    <row r="22" ht="22.5" customHeight="1">
      <c r="A22" s="4" t="s">
        <v>89</v>
      </c>
      <c r="B22" s="5">
        <v>155000.0</v>
      </c>
      <c r="C22" s="4" t="s">
        <v>11</v>
      </c>
      <c r="D22" s="6" t="s">
        <v>11</v>
      </c>
      <c r="E22" s="5">
        <v>68.0</v>
      </c>
      <c r="F22" s="4" t="s">
        <v>79</v>
      </c>
      <c r="G22" s="4" t="s">
        <v>18</v>
      </c>
      <c r="H22" s="4" t="s">
        <v>90</v>
      </c>
      <c r="I22" s="7"/>
      <c r="K22" s="4" t="s">
        <v>18</v>
      </c>
      <c r="L22" s="7">
        <f t="shared" si="1"/>
        <v>37</v>
      </c>
      <c r="M22" s="8" t="s">
        <v>91</v>
      </c>
      <c r="N22" s="9">
        <v>1.0</v>
      </c>
    </row>
    <row r="23" ht="22.5" customHeight="1">
      <c r="A23" s="4" t="s">
        <v>92</v>
      </c>
      <c r="B23" s="5">
        <v>159999.0</v>
      </c>
      <c r="C23" s="4" t="s">
        <v>11</v>
      </c>
      <c r="D23" s="6" t="s">
        <v>11</v>
      </c>
      <c r="E23" s="5">
        <v>61.0</v>
      </c>
      <c r="F23" s="4" t="s">
        <v>79</v>
      </c>
      <c r="G23" s="4" t="s">
        <v>18</v>
      </c>
      <c r="H23" s="4" t="s">
        <v>93</v>
      </c>
      <c r="I23" s="7"/>
      <c r="K23" s="4" t="s">
        <v>18</v>
      </c>
      <c r="L23" s="7">
        <f t="shared" si="1"/>
        <v>37</v>
      </c>
      <c r="M23" s="8" t="s">
        <v>27</v>
      </c>
      <c r="N23" s="9">
        <v>7.0</v>
      </c>
    </row>
    <row r="24" ht="22.5" customHeight="1">
      <c r="A24" s="4" t="s">
        <v>94</v>
      </c>
      <c r="B24" s="5">
        <v>160000.0</v>
      </c>
      <c r="C24" s="4" t="s">
        <v>11</v>
      </c>
      <c r="D24" s="6" t="s">
        <v>11</v>
      </c>
      <c r="E24" s="5">
        <v>8.0</v>
      </c>
      <c r="F24" s="4" t="s">
        <v>79</v>
      </c>
      <c r="G24" s="4" t="s">
        <v>18</v>
      </c>
      <c r="H24" s="4" t="s">
        <v>95</v>
      </c>
      <c r="I24" s="7"/>
      <c r="K24" s="4" t="s">
        <v>18</v>
      </c>
      <c r="L24" s="7">
        <f t="shared" si="1"/>
        <v>37</v>
      </c>
      <c r="M24" s="8" t="s">
        <v>96</v>
      </c>
      <c r="N24" s="9">
        <v>1.0</v>
      </c>
    </row>
    <row r="25" ht="22.5" customHeight="1">
      <c r="A25" s="4" t="s">
        <v>97</v>
      </c>
      <c r="B25" s="5">
        <v>321491.0</v>
      </c>
      <c r="C25" s="4" t="s">
        <v>11</v>
      </c>
      <c r="D25" s="6" t="s">
        <v>11</v>
      </c>
      <c r="E25" s="5">
        <v>132.0</v>
      </c>
      <c r="F25" s="4" t="s">
        <v>79</v>
      </c>
      <c r="G25" s="4" t="s">
        <v>71</v>
      </c>
      <c r="H25" s="4" t="s">
        <v>98</v>
      </c>
      <c r="I25" s="7"/>
      <c r="K25" s="4" t="s">
        <v>18</v>
      </c>
      <c r="L25" s="7">
        <f t="shared" si="1"/>
        <v>37</v>
      </c>
      <c r="M25" s="8" t="s">
        <v>99</v>
      </c>
      <c r="N25" s="9">
        <v>1.0</v>
      </c>
    </row>
    <row r="26" ht="22.5" customHeight="1">
      <c r="A26" s="4" t="s">
        <v>100</v>
      </c>
      <c r="B26" s="5">
        <v>144000.0</v>
      </c>
      <c r="C26" s="4" t="s">
        <v>11</v>
      </c>
      <c r="D26" s="6" t="s">
        <v>11</v>
      </c>
      <c r="E26" s="5">
        <v>890.0</v>
      </c>
      <c r="F26" s="4" t="s">
        <v>101</v>
      </c>
      <c r="G26" s="4" t="s">
        <v>18</v>
      </c>
      <c r="H26" s="4" t="s">
        <v>102</v>
      </c>
      <c r="I26" s="7"/>
      <c r="K26" s="4" t="s">
        <v>18</v>
      </c>
      <c r="L26" s="7">
        <f t="shared" si="1"/>
        <v>37</v>
      </c>
      <c r="M26" s="8" t="s">
        <v>103</v>
      </c>
      <c r="N26" s="9">
        <v>1.0</v>
      </c>
    </row>
    <row r="27" ht="22.5" customHeight="1">
      <c r="A27" s="4" t="s">
        <v>104</v>
      </c>
      <c r="B27" s="5">
        <v>173400.0</v>
      </c>
      <c r="C27" s="4" t="s">
        <v>11</v>
      </c>
      <c r="D27" s="6" t="s">
        <v>11</v>
      </c>
      <c r="E27" s="5">
        <v>7.0</v>
      </c>
      <c r="F27" s="4" t="s">
        <v>101</v>
      </c>
      <c r="G27" s="4" t="s">
        <v>16</v>
      </c>
      <c r="H27" s="4" t="s">
        <v>105</v>
      </c>
      <c r="I27" s="7"/>
      <c r="K27" s="4" t="s">
        <v>18</v>
      </c>
      <c r="L27" s="7">
        <f t="shared" si="1"/>
        <v>37</v>
      </c>
      <c r="M27" s="8" t="s">
        <v>106</v>
      </c>
      <c r="N27" s="9">
        <v>3.0</v>
      </c>
    </row>
    <row r="28" ht="22.5" customHeight="1">
      <c r="A28" s="4" t="s">
        <v>107</v>
      </c>
      <c r="B28" s="5">
        <v>475000.0</v>
      </c>
      <c r="C28" s="4" t="s">
        <v>11</v>
      </c>
      <c r="D28" s="6" t="s">
        <v>11</v>
      </c>
      <c r="E28" s="5">
        <v>368.0</v>
      </c>
      <c r="F28" s="4" t="s">
        <v>101</v>
      </c>
      <c r="G28" s="4" t="s">
        <v>66</v>
      </c>
      <c r="H28" s="4" t="s">
        <v>108</v>
      </c>
      <c r="I28" s="7"/>
      <c r="K28" s="4" t="s">
        <v>18</v>
      </c>
      <c r="L28" s="7">
        <f t="shared" si="1"/>
        <v>37</v>
      </c>
      <c r="M28" s="8" t="s">
        <v>109</v>
      </c>
      <c r="N28" s="9">
        <v>1.0</v>
      </c>
    </row>
    <row r="29" ht="22.5" customHeight="1">
      <c r="A29" s="4" t="s">
        <v>110</v>
      </c>
      <c r="B29" s="5">
        <v>475500.0</v>
      </c>
      <c r="C29" s="4" t="s">
        <v>11</v>
      </c>
      <c r="D29" s="6" t="s">
        <v>11</v>
      </c>
      <c r="E29" s="5">
        <v>17.0</v>
      </c>
      <c r="F29" s="4" t="s">
        <v>101</v>
      </c>
      <c r="G29" s="4" t="s">
        <v>12</v>
      </c>
      <c r="H29" s="4" t="s">
        <v>111</v>
      </c>
      <c r="I29" s="7"/>
      <c r="K29" s="4" t="s">
        <v>18</v>
      </c>
      <c r="L29" s="7">
        <f t="shared" si="1"/>
        <v>37</v>
      </c>
      <c r="M29" s="8" t="s">
        <v>112</v>
      </c>
      <c r="N29" s="9">
        <v>1.0</v>
      </c>
    </row>
    <row r="30" ht="22.5" customHeight="1">
      <c r="A30" s="4" t="s">
        <v>113</v>
      </c>
      <c r="B30" s="5">
        <v>34410.0</v>
      </c>
      <c r="C30" s="4" t="s">
        <v>11</v>
      </c>
      <c r="D30" s="6" t="s">
        <v>11</v>
      </c>
      <c r="E30" s="5">
        <v>7.0</v>
      </c>
      <c r="F30" s="4" t="s">
        <v>114</v>
      </c>
      <c r="G30" s="4" t="s">
        <v>115</v>
      </c>
      <c r="H30" s="4" t="s">
        <v>116</v>
      </c>
      <c r="I30" s="7"/>
      <c r="K30" s="4" t="s">
        <v>18</v>
      </c>
      <c r="L30" s="7">
        <f t="shared" si="1"/>
        <v>37</v>
      </c>
      <c r="M30" s="8" t="s">
        <v>117</v>
      </c>
      <c r="N30" s="9">
        <v>4.0</v>
      </c>
    </row>
    <row r="31" ht="22.5" customHeight="1">
      <c r="A31" s="4" t="s">
        <v>118</v>
      </c>
      <c r="B31" s="5">
        <v>110000.0</v>
      </c>
      <c r="C31" s="4" t="s">
        <v>11</v>
      </c>
      <c r="D31" s="6" t="s">
        <v>11</v>
      </c>
      <c r="E31" s="5">
        <v>2.0</v>
      </c>
      <c r="F31" s="4" t="s">
        <v>114</v>
      </c>
      <c r="G31" s="4" t="s">
        <v>27</v>
      </c>
      <c r="H31" s="4" t="s">
        <v>119</v>
      </c>
      <c r="I31" s="7"/>
      <c r="K31" s="4" t="s">
        <v>18</v>
      </c>
      <c r="L31" s="7">
        <f t="shared" si="1"/>
        <v>37</v>
      </c>
      <c r="M31" s="8" t="s">
        <v>71</v>
      </c>
      <c r="N31" s="9">
        <v>5.0</v>
      </c>
    </row>
    <row r="32" ht="22.5" customHeight="1">
      <c r="A32" s="4" t="s">
        <v>120</v>
      </c>
      <c r="B32" s="5">
        <v>113999.0</v>
      </c>
      <c r="C32" s="4" t="s">
        <v>11</v>
      </c>
      <c r="D32" s="6" t="s">
        <v>11</v>
      </c>
      <c r="E32" s="5">
        <v>30.0</v>
      </c>
      <c r="F32" s="4" t="s">
        <v>114</v>
      </c>
      <c r="G32" s="4" t="s">
        <v>12</v>
      </c>
      <c r="H32" s="4" t="s">
        <v>121</v>
      </c>
      <c r="I32" s="7"/>
      <c r="K32" s="4" t="s">
        <v>18</v>
      </c>
      <c r="L32" s="7">
        <f t="shared" si="1"/>
        <v>37</v>
      </c>
      <c r="M32" s="8" t="s">
        <v>31</v>
      </c>
      <c r="N32" s="9">
        <v>1.0</v>
      </c>
    </row>
    <row r="33" ht="22.5" customHeight="1">
      <c r="A33" s="4" t="s">
        <v>122</v>
      </c>
      <c r="B33" s="5">
        <v>114030.0</v>
      </c>
      <c r="C33" s="4" t="s">
        <v>11</v>
      </c>
      <c r="D33" s="6" t="s">
        <v>11</v>
      </c>
      <c r="E33" s="5">
        <v>5.0</v>
      </c>
      <c r="F33" s="4" t="s">
        <v>114</v>
      </c>
      <c r="G33" s="4" t="s">
        <v>12</v>
      </c>
      <c r="H33" s="4" t="s">
        <v>123</v>
      </c>
      <c r="I33" s="7"/>
      <c r="K33" s="4" t="s">
        <v>18</v>
      </c>
      <c r="L33" s="7">
        <f t="shared" si="1"/>
        <v>37</v>
      </c>
      <c r="M33" s="8" t="s">
        <v>23</v>
      </c>
      <c r="N33" s="9">
        <v>3.0</v>
      </c>
    </row>
    <row r="34" ht="22.5" customHeight="1">
      <c r="A34" s="4" t="s">
        <v>124</v>
      </c>
      <c r="B34" s="5">
        <v>115000.0</v>
      </c>
      <c r="C34" s="4" t="s">
        <v>11</v>
      </c>
      <c r="D34" s="6" t="s">
        <v>11</v>
      </c>
      <c r="E34" s="5">
        <v>117.0</v>
      </c>
      <c r="F34" s="4" t="s">
        <v>114</v>
      </c>
      <c r="G34" s="4" t="s">
        <v>64</v>
      </c>
      <c r="H34" s="4" t="s">
        <v>125</v>
      </c>
      <c r="I34" s="7"/>
      <c r="K34" s="4" t="s">
        <v>18</v>
      </c>
      <c r="L34" s="7">
        <f t="shared" si="1"/>
        <v>37</v>
      </c>
      <c r="M34" s="8" t="s">
        <v>66</v>
      </c>
      <c r="N34" s="9">
        <v>163.0</v>
      </c>
    </row>
    <row r="35" ht="22.5" customHeight="1">
      <c r="A35" s="4" t="s">
        <v>126</v>
      </c>
      <c r="B35" s="5">
        <v>125000.0</v>
      </c>
      <c r="C35" s="4" t="s">
        <v>11</v>
      </c>
      <c r="D35" s="6" t="s">
        <v>11</v>
      </c>
      <c r="E35" s="5">
        <v>25.0</v>
      </c>
      <c r="F35" s="4" t="s">
        <v>114</v>
      </c>
      <c r="G35" s="4" t="s">
        <v>41</v>
      </c>
      <c r="H35" s="4" t="s">
        <v>127</v>
      </c>
      <c r="I35" s="7"/>
      <c r="K35" s="4" t="s">
        <v>18</v>
      </c>
      <c r="L35" s="7">
        <f t="shared" si="1"/>
        <v>37</v>
      </c>
      <c r="M35" s="8" t="s">
        <v>128</v>
      </c>
      <c r="N35" s="9">
        <v>1.0</v>
      </c>
    </row>
    <row r="36" ht="22.5" customHeight="1">
      <c r="A36" s="4" t="s">
        <v>129</v>
      </c>
      <c r="B36" s="5">
        <v>140500.0</v>
      </c>
      <c r="C36" s="4" t="s">
        <v>11</v>
      </c>
      <c r="D36" s="6" t="s">
        <v>11</v>
      </c>
      <c r="E36" s="5">
        <v>2.0</v>
      </c>
      <c r="F36" s="4" t="s">
        <v>114</v>
      </c>
      <c r="G36" s="4" t="s">
        <v>53</v>
      </c>
      <c r="H36" s="4" t="s">
        <v>130</v>
      </c>
      <c r="I36" s="7"/>
      <c r="K36" s="4" t="s">
        <v>18</v>
      </c>
      <c r="L36" s="7">
        <f t="shared" si="1"/>
        <v>37</v>
      </c>
      <c r="M36" s="8" t="s">
        <v>131</v>
      </c>
      <c r="N36" s="9">
        <v>3.0</v>
      </c>
    </row>
    <row r="37" ht="22.5" customHeight="1">
      <c r="A37" s="4" t="s">
        <v>132</v>
      </c>
      <c r="B37" s="5">
        <v>145000.0</v>
      </c>
      <c r="C37" s="4" t="s">
        <v>11</v>
      </c>
      <c r="D37" s="6" t="s">
        <v>11</v>
      </c>
      <c r="E37" s="5">
        <v>323.0</v>
      </c>
      <c r="F37" s="4" t="s">
        <v>114</v>
      </c>
      <c r="G37" s="4" t="s">
        <v>18</v>
      </c>
      <c r="H37" s="4" t="s">
        <v>133</v>
      </c>
      <c r="I37" s="7"/>
      <c r="K37" s="4" t="s">
        <v>18</v>
      </c>
      <c r="L37" s="7">
        <f t="shared" si="1"/>
        <v>37</v>
      </c>
      <c r="M37" s="8" t="s">
        <v>134</v>
      </c>
      <c r="N37" s="9">
        <v>4.0</v>
      </c>
    </row>
    <row r="38" ht="22.5" customHeight="1">
      <c r="A38" s="4" t="s">
        <v>135</v>
      </c>
      <c r="B38" s="5">
        <v>145000.0</v>
      </c>
      <c r="C38" s="4" t="s">
        <v>11</v>
      </c>
      <c r="D38" s="6" t="s">
        <v>11</v>
      </c>
      <c r="E38" s="5">
        <v>47.0</v>
      </c>
      <c r="F38" s="4" t="s">
        <v>114</v>
      </c>
      <c r="G38" s="4" t="s">
        <v>18</v>
      </c>
      <c r="H38" s="4" t="s">
        <v>136</v>
      </c>
      <c r="I38" s="7"/>
      <c r="K38" s="4" t="s">
        <v>18</v>
      </c>
      <c r="L38" s="7">
        <f t="shared" si="1"/>
        <v>37</v>
      </c>
      <c r="M38" s="8" t="s">
        <v>137</v>
      </c>
      <c r="N38" s="9">
        <v>4.0</v>
      </c>
    </row>
    <row r="39" ht="22.5" customHeight="1">
      <c r="A39" s="4" t="s">
        <v>138</v>
      </c>
      <c r="B39" s="5">
        <v>145200.0</v>
      </c>
      <c r="C39" s="4" t="s">
        <v>11</v>
      </c>
      <c r="D39" s="6" t="s">
        <v>11</v>
      </c>
      <c r="E39" s="5">
        <v>7000.0</v>
      </c>
      <c r="F39" s="4" t="s">
        <v>114</v>
      </c>
      <c r="G39" s="4" t="s">
        <v>18</v>
      </c>
      <c r="H39" s="4" t="s">
        <v>139</v>
      </c>
      <c r="I39" s="7"/>
      <c r="K39" s="4" t="s">
        <v>18</v>
      </c>
      <c r="L39" s="7">
        <f t="shared" si="1"/>
        <v>37</v>
      </c>
      <c r="M39" s="8" t="s">
        <v>12</v>
      </c>
      <c r="N39" s="9">
        <v>37.0</v>
      </c>
    </row>
    <row r="40" ht="22.5" customHeight="1">
      <c r="A40" s="4" t="s">
        <v>140</v>
      </c>
      <c r="B40" s="5">
        <v>149000.0</v>
      </c>
      <c r="C40" s="4" t="s">
        <v>11</v>
      </c>
      <c r="D40" s="6" t="s">
        <v>11</v>
      </c>
      <c r="E40" s="5">
        <v>874.0</v>
      </c>
      <c r="F40" s="4" t="s">
        <v>114</v>
      </c>
      <c r="G40" s="4" t="s">
        <v>18</v>
      </c>
      <c r="H40" s="4" t="s">
        <v>141</v>
      </c>
      <c r="I40" s="7"/>
      <c r="K40" s="4" t="s">
        <v>18</v>
      </c>
      <c r="L40" s="7">
        <f t="shared" si="1"/>
        <v>37</v>
      </c>
      <c r="M40" s="8" t="s">
        <v>83</v>
      </c>
      <c r="N40" s="9">
        <v>8.0</v>
      </c>
    </row>
    <row r="41" ht="22.5" customHeight="1">
      <c r="A41" s="4" t="s">
        <v>142</v>
      </c>
      <c r="B41" s="5">
        <v>150999.0</v>
      </c>
      <c r="C41" s="4" t="s">
        <v>11</v>
      </c>
      <c r="D41" s="6" t="s">
        <v>11</v>
      </c>
      <c r="E41" s="5">
        <v>77.0</v>
      </c>
      <c r="F41" s="4" t="s">
        <v>114</v>
      </c>
      <c r="G41" s="4" t="s">
        <v>18</v>
      </c>
      <c r="H41" s="4" t="s">
        <v>143</v>
      </c>
      <c r="I41" s="7"/>
      <c r="K41" s="4" t="s">
        <v>18</v>
      </c>
      <c r="L41" s="7">
        <f t="shared" si="1"/>
        <v>37</v>
      </c>
      <c r="M41" s="8" t="s">
        <v>144</v>
      </c>
      <c r="N41" s="9">
        <v>2.0</v>
      </c>
    </row>
    <row r="42" ht="22.5" customHeight="1">
      <c r="A42" s="4" t="s">
        <v>145</v>
      </c>
      <c r="B42" s="5">
        <v>151000.0</v>
      </c>
      <c r="C42" s="4" t="s">
        <v>11</v>
      </c>
      <c r="D42" s="6" t="s">
        <v>11</v>
      </c>
      <c r="E42" s="5">
        <v>59.0</v>
      </c>
      <c r="F42" s="4" t="s">
        <v>114</v>
      </c>
      <c r="G42" s="4" t="s">
        <v>18</v>
      </c>
      <c r="H42" s="4" t="s">
        <v>146</v>
      </c>
      <c r="I42" s="7"/>
      <c r="K42" s="4" t="s">
        <v>18</v>
      </c>
      <c r="L42" s="7">
        <f t="shared" si="1"/>
        <v>37</v>
      </c>
      <c r="M42" s="8" t="s">
        <v>147</v>
      </c>
      <c r="N42" s="9">
        <v>7.0</v>
      </c>
    </row>
    <row r="43" ht="22.5" customHeight="1">
      <c r="A43" s="4" t="s">
        <v>148</v>
      </c>
      <c r="B43" s="5">
        <v>159830.0</v>
      </c>
      <c r="C43" s="4" t="s">
        <v>11</v>
      </c>
      <c r="D43" s="6" t="s">
        <v>11</v>
      </c>
      <c r="E43" s="5">
        <v>126.0</v>
      </c>
      <c r="F43" s="4" t="s">
        <v>114</v>
      </c>
      <c r="G43" s="4" t="s">
        <v>18</v>
      </c>
      <c r="H43" s="4" t="s">
        <v>149</v>
      </c>
      <c r="I43" s="7"/>
      <c r="K43" s="4" t="s">
        <v>18</v>
      </c>
      <c r="L43" s="7">
        <f t="shared" si="1"/>
        <v>37</v>
      </c>
      <c r="M43" s="8" t="s">
        <v>150</v>
      </c>
      <c r="N43" s="9">
        <v>3.0</v>
      </c>
    </row>
    <row r="44" ht="22.5" customHeight="1">
      <c r="A44" s="4" t="s">
        <v>151</v>
      </c>
      <c r="B44" s="5">
        <v>165000.0</v>
      </c>
      <c r="C44" s="4" t="s">
        <v>11</v>
      </c>
      <c r="D44" s="6" t="s">
        <v>11</v>
      </c>
      <c r="E44" s="5">
        <v>6.0</v>
      </c>
      <c r="F44" s="4" t="s">
        <v>114</v>
      </c>
      <c r="G44" s="4" t="s">
        <v>18</v>
      </c>
      <c r="H44" s="4" t="s">
        <v>152</v>
      </c>
      <c r="I44" s="7"/>
      <c r="K44" s="4" t="s">
        <v>18</v>
      </c>
      <c r="L44" s="7">
        <f t="shared" si="1"/>
        <v>37</v>
      </c>
      <c r="M44" s="8" t="s">
        <v>153</v>
      </c>
      <c r="N44" s="9">
        <v>1.0</v>
      </c>
    </row>
    <row r="45" ht="22.5" customHeight="1">
      <c r="A45" s="4" t="s">
        <v>154</v>
      </c>
      <c r="B45" s="5">
        <v>168000.0</v>
      </c>
      <c r="C45" s="4" t="s">
        <v>11</v>
      </c>
      <c r="D45" s="6" t="s">
        <v>11</v>
      </c>
      <c r="E45" s="5">
        <v>3.0</v>
      </c>
      <c r="F45" s="4" t="s">
        <v>114</v>
      </c>
      <c r="G45" s="4" t="s">
        <v>18</v>
      </c>
      <c r="H45" s="4" t="s">
        <v>155</v>
      </c>
      <c r="I45" s="7"/>
      <c r="K45" s="4" t="s">
        <v>21</v>
      </c>
      <c r="L45" s="7">
        <f t="shared" si="1"/>
        <v>8</v>
      </c>
      <c r="M45" s="8" t="s">
        <v>115</v>
      </c>
      <c r="N45" s="9">
        <v>17.0</v>
      </c>
    </row>
    <row r="46" ht="22.5" customHeight="1">
      <c r="A46" s="4" t="s">
        <v>156</v>
      </c>
      <c r="B46" s="5">
        <v>45000.0</v>
      </c>
      <c r="C46" s="4" t="s">
        <v>11</v>
      </c>
      <c r="D46" s="6" t="s">
        <v>11</v>
      </c>
      <c r="E46" s="5">
        <v>131.0</v>
      </c>
      <c r="F46" s="4" t="s">
        <v>157</v>
      </c>
      <c r="G46" s="4" t="s">
        <v>57</v>
      </c>
      <c r="H46" s="4" t="s">
        <v>158</v>
      </c>
      <c r="I46" s="7"/>
      <c r="K46" s="4" t="s">
        <v>21</v>
      </c>
      <c r="L46" s="7">
        <f t="shared" si="1"/>
        <v>8</v>
      </c>
      <c r="M46" s="8" t="s">
        <v>159</v>
      </c>
      <c r="N46" s="9">
        <v>2.0</v>
      </c>
    </row>
    <row r="47" ht="22.5" customHeight="1">
      <c r="A47" s="4" t="s">
        <v>160</v>
      </c>
      <c r="B47" s="5">
        <v>97900.0</v>
      </c>
      <c r="C47" s="4" t="s">
        <v>11</v>
      </c>
      <c r="D47" s="6" t="s">
        <v>11</v>
      </c>
      <c r="E47" s="5">
        <v>66.0</v>
      </c>
      <c r="F47" s="4" t="s">
        <v>157</v>
      </c>
      <c r="G47" s="4" t="s">
        <v>161</v>
      </c>
      <c r="H47" s="4" t="s">
        <v>162</v>
      </c>
      <c r="I47" s="7"/>
      <c r="K47" s="4" t="s">
        <v>21</v>
      </c>
      <c r="L47" s="7">
        <f t="shared" si="1"/>
        <v>8</v>
      </c>
      <c r="M47" s="8" t="s">
        <v>16</v>
      </c>
      <c r="N47" s="9">
        <v>30.0</v>
      </c>
    </row>
    <row r="48" ht="22.5" customHeight="1">
      <c r="A48" s="4" t="s">
        <v>163</v>
      </c>
      <c r="B48" s="5">
        <v>102500.0</v>
      </c>
      <c r="C48" s="4" t="s">
        <v>11</v>
      </c>
      <c r="D48" s="6" t="s">
        <v>11</v>
      </c>
      <c r="E48" s="5">
        <v>19.0</v>
      </c>
      <c r="F48" s="4" t="s">
        <v>157</v>
      </c>
      <c r="G48" s="4" t="s">
        <v>37</v>
      </c>
      <c r="H48" s="4" t="s">
        <v>164</v>
      </c>
      <c r="I48" s="7"/>
      <c r="K48" s="4" t="s">
        <v>21</v>
      </c>
      <c r="L48" s="7">
        <f t="shared" si="1"/>
        <v>8</v>
      </c>
      <c r="M48" s="8" t="s">
        <v>35</v>
      </c>
      <c r="N48" s="9">
        <v>22.0</v>
      </c>
    </row>
    <row r="49" ht="22.5" customHeight="1">
      <c r="A49" s="4" t="s">
        <v>165</v>
      </c>
      <c r="B49" s="5">
        <v>103000.0</v>
      </c>
      <c r="C49" s="4" t="s">
        <v>11</v>
      </c>
      <c r="D49" s="6" t="s">
        <v>11</v>
      </c>
      <c r="E49" s="5">
        <v>932.0</v>
      </c>
      <c r="F49" s="4" t="s">
        <v>157</v>
      </c>
      <c r="G49" s="4" t="s">
        <v>66</v>
      </c>
      <c r="H49" s="4" t="s">
        <v>166</v>
      </c>
      <c r="I49" s="7"/>
      <c r="K49" s="4" t="s">
        <v>21</v>
      </c>
      <c r="L49" s="7">
        <f t="shared" si="1"/>
        <v>8</v>
      </c>
      <c r="M49" s="8" t="s">
        <v>161</v>
      </c>
      <c r="N49" s="9">
        <v>1.0</v>
      </c>
    </row>
    <row r="50" ht="22.5" customHeight="1">
      <c r="A50" s="4" t="s">
        <v>167</v>
      </c>
      <c r="B50" s="5">
        <v>105000.0</v>
      </c>
      <c r="C50" s="4" t="s">
        <v>11</v>
      </c>
      <c r="D50" s="6" t="s">
        <v>11</v>
      </c>
      <c r="E50" s="5">
        <v>83.0</v>
      </c>
      <c r="F50" s="4" t="s">
        <v>157</v>
      </c>
      <c r="G50" s="4" t="s">
        <v>35</v>
      </c>
      <c r="H50" s="4" t="s">
        <v>168</v>
      </c>
      <c r="I50" s="7"/>
      <c r="K50" s="4" t="s">
        <v>21</v>
      </c>
      <c r="L50" s="7">
        <f t="shared" si="1"/>
        <v>8</v>
      </c>
      <c r="M50" s="8" t="s">
        <v>169</v>
      </c>
      <c r="N50" s="9">
        <v>1.0</v>
      </c>
    </row>
    <row r="51" ht="22.5" customHeight="1">
      <c r="A51" s="4" t="s">
        <v>170</v>
      </c>
      <c r="B51" s="5">
        <v>110999.0</v>
      </c>
      <c r="C51" s="4" t="s">
        <v>11</v>
      </c>
      <c r="D51" s="6" t="s">
        <v>11</v>
      </c>
      <c r="E51" s="5">
        <v>15.0</v>
      </c>
      <c r="F51" s="4" t="s">
        <v>157</v>
      </c>
      <c r="G51" s="4" t="s">
        <v>18</v>
      </c>
      <c r="H51" s="4" t="s">
        <v>171</v>
      </c>
      <c r="I51" s="7"/>
      <c r="K51" s="4" t="s">
        <v>21</v>
      </c>
      <c r="L51" s="7">
        <f t="shared" si="1"/>
        <v>8</v>
      </c>
      <c r="M51" s="7"/>
    </row>
    <row r="52" ht="22.5" customHeight="1">
      <c r="A52" s="4" t="s">
        <v>172</v>
      </c>
      <c r="B52" s="5">
        <v>113700.0</v>
      </c>
      <c r="C52" s="4" t="s">
        <v>11</v>
      </c>
      <c r="D52" s="6" t="s">
        <v>11</v>
      </c>
      <c r="E52" s="5">
        <v>67.0</v>
      </c>
      <c r="F52" s="4" t="s">
        <v>157</v>
      </c>
      <c r="G52" s="4" t="s">
        <v>64</v>
      </c>
      <c r="H52" s="4" t="s">
        <v>173</v>
      </c>
      <c r="I52" s="7"/>
      <c r="K52" s="4" t="s">
        <v>21</v>
      </c>
      <c r="L52" s="7">
        <f t="shared" si="1"/>
        <v>8</v>
      </c>
      <c r="M52" s="7"/>
    </row>
    <row r="53" ht="22.5" customHeight="1">
      <c r="A53" s="4" t="s">
        <v>174</v>
      </c>
      <c r="B53" s="5">
        <v>120000.0</v>
      </c>
      <c r="C53" s="4" t="s">
        <v>11</v>
      </c>
      <c r="D53" s="6" t="s">
        <v>11</v>
      </c>
      <c r="E53" s="5">
        <v>37.0</v>
      </c>
      <c r="F53" s="4" t="s">
        <v>157</v>
      </c>
      <c r="G53" s="4" t="s">
        <v>41</v>
      </c>
      <c r="H53" s="4" t="s">
        <v>175</v>
      </c>
      <c r="I53" s="7"/>
      <c r="K53" s="4" t="s">
        <v>25</v>
      </c>
      <c r="L53" s="7">
        <f t="shared" si="1"/>
        <v>2</v>
      </c>
      <c r="M53" s="7"/>
    </row>
    <row r="54" ht="22.5" customHeight="1">
      <c r="A54" s="4" t="s">
        <v>176</v>
      </c>
      <c r="B54" s="5">
        <v>125010.0</v>
      </c>
      <c r="C54" s="4" t="s">
        <v>11</v>
      </c>
      <c r="D54" s="6" t="s">
        <v>11</v>
      </c>
      <c r="E54" s="5">
        <v>38.0</v>
      </c>
      <c r="F54" s="4" t="s">
        <v>157</v>
      </c>
      <c r="G54" s="4" t="s">
        <v>41</v>
      </c>
      <c r="H54" s="4" t="s">
        <v>177</v>
      </c>
      <c r="I54" s="7"/>
      <c r="K54" s="4" t="s">
        <v>25</v>
      </c>
      <c r="L54" s="7">
        <f t="shared" si="1"/>
        <v>2</v>
      </c>
      <c r="M54" s="7"/>
    </row>
    <row r="55" ht="22.5" customHeight="1">
      <c r="A55" s="4" t="s">
        <v>178</v>
      </c>
      <c r="B55" s="5">
        <v>129637.0</v>
      </c>
      <c r="C55" s="4" t="s">
        <v>11</v>
      </c>
      <c r="D55" s="6" t="s">
        <v>11</v>
      </c>
      <c r="E55" s="5">
        <v>246.0</v>
      </c>
      <c r="F55" s="4" t="s">
        <v>157</v>
      </c>
      <c r="G55" s="4" t="s">
        <v>77</v>
      </c>
      <c r="H55" s="4" t="s">
        <v>179</v>
      </c>
      <c r="I55" s="7"/>
      <c r="K55" s="4" t="s">
        <v>29</v>
      </c>
      <c r="L55" s="7">
        <f t="shared" si="1"/>
        <v>4</v>
      </c>
      <c r="M55" s="7"/>
    </row>
    <row r="56" ht="22.5" customHeight="1">
      <c r="A56" s="4" t="s">
        <v>180</v>
      </c>
      <c r="B56" s="5">
        <v>144858.0</v>
      </c>
      <c r="C56" s="4" t="s">
        <v>11</v>
      </c>
      <c r="D56" s="6" t="s">
        <v>11</v>
      </c>
      <c r="E56" s="5">
        <v>216.0</v>
      </c>
      <c r="F56" s="4" t="s">
        <v>157</v>
      </c>
      <c r="G56" s="4" t="s">
        <v>18</v>
      </c>
      <c r="H56" s="4" t="s">
        <v>181</v>
      </c>
      <c r="I56" s="7"/>
      <c r="K56" s="4" t="s">
        <v>29</v>
      </c>
      <c r="L56" s="7">
        <f t="shared" si="1"/>
        <v>4</v>
      </c>
      <c r="M56" s="7"/>
    </row>
    <row r="57" ht="22.5" customHeight="1">
      <c r="A57" s="4" t="s">
        <v>182</v>
      </c>
      <c r="B57" s="5">
        <v>148400.0</v>
      </c>
      <c r="C57" s="4" t="s">
        <v>11</v>
      </c>
      <c r="D57" s="6" t="s">
        <v>11</v>
      </c>
      <c r="E57" s="5">
        <v>187.0</v>
      </c>
      <c r="F57" s="4" t="s">
        <v>157</v>
      </c>
      <c r="G57" s="4" t="s">
        <v>18</v>
      </c>
      <c r="H57" s="4" t="s">
        <v>183</v>
      </c>
      <c r="I57" s="7"/>
      <c r="K57" s="4" t="s">
        <v>29</v>
      </c>
      <c r="L57" s="7">
        <f t="shared" si="1"/>
        <v>4</v>
      </c>
      <c r="M57" s="7"/>
    </row>
    <row r="58" ht="22.5" customHeight="1">
      <c r="A58" s="4" t="s">
        <v>184</v>
      </c>
      <c r="B58" s="5">
        <v>160000.0</v>
      </c>
      <c r="C58" s="4" t="s">
        <v>11</v>
      </c>
      <c r="D58" s="6" t="s">
        <v>11</v>
      </c>
      <c r="E58" s="5">
        <v>117.0</v>
      </c>
      <c r="F58" s="4" t="s">
        <v>157</v>
      </c>
      <c r="G58" s="4" t="s">
        <v>18</v>
      </c>
      <c r="H58" s="4" t="s">
        <v>185</v>
      </c>
      <c r="I58" s="7"/>
      <c r="K58" s="4" t="s">
        <v>29</v>
      </c>
      <c r="L58" s="7">
        <f t="shared" si="1"/>
        <v>4</v>
      </c>
      <c r="M58" s="7"/>
    </row>
    <row r="59" ht="22.5" customHeight="1">
      <c r="A59" s="4" t="s">
        <v>186</v>
      </c>
      <c r="B59" s="5">
        <v>165000.0</v>
      </c>
      <c r="C59" s="4" t="s">
        <v>11</v>
      </c>
      <c r="D59" s="6" t="s">
        <v>11</v>
      </c>
      <c r="E59" s="5">
        <v>66.0</v>
      </c>
      <c r="F59" s="4" t="s">
        <v>157</v>
      </c>
      <c r="G59" s="4" t="s">
        <v>66</v>
      </c>
      <c r="H59" s="4" t="s">
        <v>187</v>
      </c>
      <c r="I59" s="7"/>
      <c r="K59" s="4" t="s">
        <v>33</v>
      </c>
      <c r="L59" s="7">
        <f t="shared" si="1"/>
        <v>2</v>
      </c>
      <c r="M59" s="7"/>
    </row>
    <row r="60" ht="22.5" customHeight="1">
      <c r="A60" s="4" t="s">
        <v>188</v>
      </c>
      <c r="B60" s="5">
        <v>192738.0</v>
      </c>
      <c r="C60" s="4" t="s">
        <v>11</v>
      </c>
      <c r="D60" s="6" t="s">
        <v>11</v>
      </c>
      <c r="E60" s="5">
        <v>30.0</v>
      </c>
      <c r="F60" s="4" t="s">
        <v>157</v>
      </c>
      <c r="G60" s="4" t="s">
        <v>53</v>
      </c>
      <c r="H60" s="4" t="s">
        <v>189</v>
      </c>
      <c r="I60" s="7"/>
      <c r="K60" s="4" t="s">
        <v>33</v>
      </c>
      <c r="L60" s="7">
        <f t="shared" si="1"/>
        <v>2</v>
      </c>
      <c r="M60" s="7"/>
    </row>
    <row r="61" ht="22.5" customHeight="1">
      <c r="A61" s="4" t="s">
        <v>190</v>
      </c>
      <c r="B61" s="5">
        <v>201900.0</v>
      </c>
      <c r="C61" s="4" t="s">
        <v>11</v>
      </c>
      <c r="D61" s="6" t="s">
        <v>11</v>
      </c>
      <c r="E61" s="5">
        <v>6.0</v>
      </c>
      <c r="F61" s="4" t="s">
        <v>157</v>
      </c>
      <c r="G61" s="4" t="s">
        <v>57</v>
      </c>
      <c r="H61" s="4" t="s">
        <v>191</v>
      </c>
      <c r="I61" s="7"/>
      <c r="K61" s="4" t="s">
        <v>37</v>
      </c>
      <c r="L61" s="7">
        <f t="shared" si="1"/>
        <v>23</v>
      </c>
      <c r="M61" s="7"/>
    </row>
    <row r="62" ht="22.5" customHeight="1">
      <c r="A62" s="4" t="s">
        <v>192</v>
      </c>
      <c r="B62" s="5">
        <v>312000.0</v>
      </c>
      <c r="C62" s="4" t="s">
        <v>11</v>
      </c>
      <c r="D62" s="6" t="s">
        <v>11</v>
      </c>
      <c r="E62" s="5">
        <v>17.0</v>
      </c>
      <c r="F62" s="4" t="s">
        <v>157</v>
      </c>
      <c r="G62" s="4" t="s">
        <v>21</v>
      </c>
      <c r="H62" s="4" t="s">
        <v>193</v>
      </c>
      <c r="I62" s="7"/>
      <c r="K62" s="4" t="s">
        <v>37</v>
      </c>
      <c r="L62" s="7">
        <f t="shared" si="1"/>
        <v>23</v>
      </c>
      <c r="M62" s="7"/>
    </row>
    <row r="63" ht="22.5" customHeight="1">
      <c r="A63" s="4" t="s">
        <v>194</v>
      </c>
      <c r="B63" s="5">
        <v>475000.0</v>
      </c>
      <c r="C63" s="4" t="s">
        <v>11</v>
      </c>
      <c r="D63" s="6" t="s">
        <v>11</v>
      </c>
      <c r="E63" s="5">
        <v>12.0</v>
      </c>
      <c r="F63" s="4" t="s">
        <v>157</v>
      </c>
      <c r="G63" s="4" t="s">
        <v>37</v>
      </c>
      <c r="H63" s="4" t="s">
        <v>195</v>
      </c>
      <c r="I63" s="7"/>
      <c r="K63" s="4" t="s">
        <v>37</v>
      </c>
      <c r="L63" s="7">
        <f t="shared" si="1"/>
        <v>23</v>
      </c>
      <c r="M63" s="7"/>
    </row>
    <row r="64" ht="22.5" customHeight="1">
      <c r="A64" s="4" t="s">
        <v>196</v>
      </c>
      <c r="B64" s="5">
        <v>858000.0</v>
      </c>
      <c r="C64" s="4" t="s">
        <v>11</v>
      </c>
      <c r="D64" s="6" t="s">
        <v>11</v>
      </c>
      <c r="E64" s="5">
        <v>47.0</v>
      </c>
      <c r="F64" s="4" t="s">
        <v>157</v>
      </c>
      <c r="G64" s="4" t="s">
        <v>12</v>
      </c>
      <c r="H64" s="4" t="s">
        <v>139</v>
      </c>
      <c r="I64" s="7"/>
      <c r="K64" s="4" t="s">
        <v>37</v>
      </c>
      <c r="L64" s="7">
        <f t="shared" si="1"/>
        <v>23</v>
      </c>
      <c r="M64" s="7"/>
    </row>
    <row r="65" ht="22.5" customHeight="1">
      <c r="A65" s="4" t="s">
        <v>197</v>
      </c>
      <c r="B65" s="5">
        <v>40000.0</v>
      </c>
      <c r="C65" s="4" t="s">
        <v>11</v>
      </c>
      <c r="D65" s="6" t="s">
        <v>11</v>
      </c>
      <c r="E65" s="5">
        <v>39.0</v>
      </c>
      <c r="F65" s="4" t="s">
        <v>198</v>
      </c>
      <c r="G65" s="4" t="s">
        <v>18</v>
      </c>
      <c r="H65" s="4" t="s">
        <v>199</v>
      </c>
      <c r="I65" s="7"/>
      <c r="K65" s="4" t="s">
        <v>37</v>
      </c>
      <c r="L65" s="7">
        <f t="shared" si="1"/>
        <v>23</v>
      </c>
      <c r="M65" s="7"/>
    </row>
    <row r="66" ht="22.5" customHeight="1">
      <c r="A66" s="4" t="s">
        <v>200</v>
      </c>
      <c r="B66" s="5">
        <v>45000.0</v>
      </c>
      <c r="C66" s="4" t="s">
        <v>11</v>
      </c>
      <c r="D66" s="6" t="s">
        <v>11</v>
      </c>
      <c r="E66" s="5">
        <v>34.0</v>
      </c>
      <c r="F66" s="4" t="s">
        <v>198</v>
      </c>
      <c r="G66" s="4" t="s">
        <v>41</v>
      </c>
      <c r="H66" s="4" t="s">
        <v>201</v>
      </c>
      <c r="I66" s="7"/>
      <c r="K66" s="4" t="s">
        <v>37</v>
      </c>
      <c r="L66" s="7">
        <f t="shared" si="1"/>
        <v>23</v>
      </c>
      <c r="M66" s="7"/>
    </row>
    <row r="67" ht="22.5" customHeight="1">
      <c r="A67" s="4" t="s">
        <v>202</v>
      </c>
      <c r="B67" s="5">
        <v>48500.0</v>
      </c>
      <c r="C67" s="4" t="s">
        <v>11</v>
      </c>
      <c r="D67" s="6" t="s">
        <v>11</v>
      </c>
      <c r="E67" s="5">
        <v>136.0</v>
      </c>
      <c r="F67" s="4" t="s">
        <v>198</v>
      </c>
      <c r="G67" s="4" t="s">
        <v>41</v>
      </c>
      <c r="H67" s="4" t="s">
        <v>203</v>
      </c>
      <c r="I67" s="7"/>
      <c r="K67" s="4" t="s">
        <v>37</v>
      </c>
      <c r="L67" s="7">
        <f t="shared" si="1"/>
        <v>23</v>
      </c>
      <c r="M67" s="7"/>
    </row>
    <row r="68" ht="22.5" customHeight="1">
      <c r="A68" s="4" t="s">
        <v>204</v>
      </c>
      <c r="B68" s="5">
        <v>65000.0</v>
      </c>
      <c r="C68" s="4" t="s">
        <v>11</v>
      </c>
      <c r="D68" s="6" t="s">
        <v>11</v>
      </c>
      <c r="E68" s="5">
        <v>24.0</v>
      </c>
      <c r="F68" s="4" t="s">
        <v>198</v>
      </c>
      <c r="G68" s="4" t="s">
        <v>16</v>
      </c>
      <c r="H68" s="4" t="s">
        <v>205</v>
      </c>
      <c r="I68" s="7"/>
      <c r="K68" s="4" t="s">
        <v>37</v>
      </c>
      <c r="L68" s="7">
        <f t="shared" si="1"/>
        <v>23</v>
      </c>
      <c r="M68" s="7"/>
    </row>
    <row r="69" ht="22.5" customHeight="1">
      <c r="A69" s="4" t="s">
        <v>206</v>
      </c>
      <c r="B69" s="5">
        <v>65100.0</v>
      </c>
      <c r="C69" s="4" t="s">
        <v>11</v>
      </c>
      <c r="D69" s="6" t="s">
        <v>11</v>
      </c>
      <c r="E69" s="5">
        <v>143.0</v>
      </c>
      <c r="F69" s="4" t="s">
        <v>198</v>
      </c>
      <c r="G69" s="4" t="s">
        <v>66</v>
      </c>
      <c r="H69" s="4" t="s">
        <v>207</v>
      </c>
      <c r="I69" s="7"/>
      <c r="K69" s="4" t="s">
        <v>37</v>
      </c>
      <c r="L69" s="7">
        <f t="shared" si="1"/>
        <v>23</v>
      </c>
      <c r="M69" s="7"/>
    </row>
    <row r="70" ht="22.5" customHeight="1">
      <c r="A70" s="4" t="s">
        <v>208</v>
      </c>
      <c r="B70" s="5">
        <v>70000.0</v>
      </c>
      <c r="C70" s="4" t="s">
        <v>11</v>
      </c>
      <c r="D70" s="6" t="s">
        <v>11</v>
      </c>
      <c r="E70" s="5">
        <v>31.0</v>
      </c>
      <c r="F70" s="4" t="s">
        <v>198</v>
      </c>
      <c r="G70" s="4" t="s">
        <v>57</v>
      </c>
      <c r="H70" s="4" t="s">
        <v>209</v>
      </c>
      <c r="I70" s="7"/>
      <c r="K70" s="4" t="s">
        <v>37</v>
      </c>
      <c r="L70" s="7">
        <f t="shared" si="1"/>
        <v>23</v>
      </c>
      <c r="M70" s="7"/>
    </row>
    <row r="71" ht="22.5" customHeight="1">
      <c r="A71" s="4" t="s">
        <v>210</v>
      </c>
      <c r="B71" s="5">
        <v>76900.0</v>
      </c>
      <c r="C71" s="4" t="s">
        <v>11</v>
      </c>
      <c r="D71" s="6" t="s">
        <v>11</v>
      </c>
      <c r="E71" s="5">
        <v>885.0</v>
      </c>
      <c r="F71" s="4" t="s">
        <v>198</v>
      </c>
      <c r="G71" s="4" t="s">
        <v>115</v>
      </c>
      <c r="H71" s="4" t="s">
        <v>211</v>
      </c>
      <c r="I71" s="7"/>
      <c r="K71" s="4" t="s">
        <v>37</v>
      </c>
      <c r="L71" s="7">
        <f t="shared" si="1"/>
        <v>23</v>
      </c>
      <c r="M71" s="7"/>
    </row>
    <row r="72" ht="22.5" customHeight="1">
      <c r="A72" s="4" t="s">
        <v>212</v>
      </c>
      <c r="B72" s="5">
        <v>79000.0</v>
      </c>
      <c r="C72" s="4" t="s">
        <v>11</v>
      </c>
      <c r="D72" s="6" t="s">
        <v>11</v>
      </c>
      <c r="E72" s="5">
        <v>45.0</v>
      </c>
      <c r="F72" s="4" t="s">
        <v>198</v>
      </c>
      <c r="G72" s="4" t="s">
        <v>57</v>
      </c>
      <c r="H72" s="4" t="s">
        <v>213</v>
      </c>
      <c r="I72" s="7"/>
      <c r="K72" s="4" t="s">
        <v>37</v>
      </c>
      <c r="L72" s="7">
        <f t="shared" si="1"/>
        <v>23</v>
      </c>
      <c r="M72" s="7"/>
    </row>
    <row r="73" ht="22.5" customHeight="1">
      <c r="A73" s="4" t="s">
        <v>214</v>
      </c>
      <c r="B73" s="5">
        <v>83500.0</v>
      </c>
      <c r="C73" s="4" t="s">
        <v>11</v>
      </c>
      <c r="D73" s="6" t="s">
        <v>11</v>
      </c>
      <c r="E73" s="5">
        <v>290.0</v>
      </c>
      <c r="F73" s="4" t="s">
        <v>198</v>
      </c>
      <c r="G73" s="4" t="s">
        <v>35</v>
      </c>
      <c r="H73" s="4" t="s">
        <v>215</v>
      </c>
      <c r="I73" s="7"/>
      <c r="K73" s="4" t="s">
        <v>37</v>
      </c>
      <c r="L73" s="7">
        <f t="shared" si="1"/>
        <v>23</v>
      </c>
      <c r="M73" s="7"/>
    </row>
    <row r="74" ht="22.5" customHeight="1">
      <c r="A74" s="4" t="s">
        <v>216</v>
      </c>
      <c r="B74" s="5">
        <v>84800.0</v>
      </c>
      <c r="C74" s="4" t="s">
        <v>11</v>
      </c>
      <c r="D74" s="6" t="s">
        <v>11</v>
      </c>
      <c r="E74" s="5">
        <v>635.0</v>
      </c>
      <c r="F74" s="4" t="s">
        <v>198</v>
      </c>
      <c r="G74" s="4" t="s">
        <v>16</v>
      </c>
      <c r="H74" s="4" t="s">
        <v>217</v>
      </c>
      <c r="I74" s="7"/>
      <c r="K74" s="4" t="s">
        <v>37</v>
      </c>
      <c r="L74" s="7">
        <f t="shared" si="1"/>
        <v>23</v>
      </c>
      <c r="M74" s="7"/>
    </row>
    <row r="75" ht="22.5" customHeight="1">
      <c r="A75" s="4" t="s">
        <v>218</v>
      </c>
      <c r="B75" s="5">
        <v>85999.0</v>
      </c>
      <c r="C75" s="4" t="s">
        <v>11</v>
      </c>
      <c r="D75" s="6" t="s">
        <v>11</v>
      </c>
      <c r="E75" s="5">
        <v>393.0</v>
      </c>
      <c r="F75" s="4" t="s">
        <v>198</v>
      </c>
      <c r="G75" s="4" t="s">
        <v>115</v>
      </c>
      <c r="H75" s="4" t="s">
        <v>219</v>
      </c>
      <c r="I75" s="7"/>
      <c r="K75" s="4" t="s">
        <v>37</v>
      </c>
      <c r="L75" s="7">
        <f t="shared" si="1"/>
        <v>23</v>
      </c>
      <c r="M75" s="7"/>
    </row>
    <row r="76" ht="22.5" customHeight="1">
      <c r="A76" s="4" t="s">
        <v>220</v>
      </c>
      <c r="B76" s="5">
        <v>86000.0</v>
      </c>
      <c r="C76" s="4" t="s">
        <v>11</v>
      </c>
      <c r="D76" s="6" t="s">
        <v>11</v>
      </c>
      <c r="E76" s="5">
        <v>74.0</v>
      </c>
      <c r="F76" s="4" t="s">
        <v>198</v>
      </c>
      <c r="G76" s="4" t="s">
        <v>117</v>
      </c>
      <c r="H76" s="4" t="s">
        <v>221</v>
      </c>
      <c r="I76" s="7"/>
      <c r="K76" s="4" t="s">
        <v>37</v>
      </c>
      <c r="L76" s="7">
        <f t="shared" si="1"/>
        <v>23</v>
      </c>
      <c r="M76" s="7"/>
    </row>
    <row r="77" ht="22.5" customHeight="1">
      <c r="A77" s="4" t="s">
        <v>222</v>
      </c>
      <c r="B77" s="5">
        <v>89000.0</v>
      </c>
      <c r="C77" s="4" t="s">
        <v>11</v>
      </c>
      <c r="D77" s="6" t="s">
        <v>11</v>
      </c>
      <c r="E77" s="5">
        <v>894.0</v>
      </c>
      <c r="F77" s="4" t="s">
        <v>198</v>
      </c>
      <c r="G77" s="4" t="s">
        <v>66</v>
      </c>
      <c r="H77" s="4" t="s">
        <v>223</v>
      </c>
      <c r="I77" s="7"/>
      <c r="K77" s="4" t="s">
        <v>37</v>
      </c>
      <c r="L77" s="7">
        <f t="shared" si="1"/>
        <v>23</v>
      </c>
      <c r="M77" s="7"/>
    </row>
    <row r="78" ht="22.5" customHeight="1">
      <c r="A78" s="4" t="s">
        <v>224</v>
      </c>
      <c r="B78" s="5">
        <v>89999.0</v>
      </c>
      <c r="C78" s="4" t="s">
        <v>11</v>
      </c>
      <c r="D78" s="6" t="s">
        <v>11</v>
      </c>
      <c r="E78" s="5">
        <v>15.0</v>
      </c>
      <c r="F78" s="4" t="s">
        <v>198</v>
      </c>
      <c r="G78" s="4" t="s">
        <v>18</v>
      </c>
      <c r="H78" s="4" t="s">
        <v>225</v>
      </c>
      <c r="I78" s="7"/>
      <c r="K78" s="4" t="s">
        <v>37</v>
      </c>
      <c r="L78" s="7">
        <f t="shared" si="1"/>
        <v>23</v>
      </c>
      <c r="M78" s="7"/>
    </row>
    <row r="79" ht="22.5" customHeight="1">
      <c r="A79" s="4" t="s">
        <v>226</v>
      </c>
      <c r="B79" s="5">
        <v>91350.0</v>
      </c>
      <c r="C79" s="4" t="s">
        <v>11</v>
      </c>
      <c r="D79" s="6" t="s">
        <v>11</v>
      </c>
      <c r="E79" s="5">
        <v>370.0</v>
      </c>
      <c r="F79" s="4" t="s">
        <v>198</v>
      </c>
      <c r="G79" s="4" t="s">
        <v>41</v>
      </c>
      <c r="H79" s="4" t="s">
        <v>227</v>
      </c>
      <c r="I79" s="7"/>
      <c r="K79" s="4" t="s">
        <v>37</v>
      </c>
      <c r="L79" s="7">
        <f t="shared" si="1"/>
        <v>23</v>
      </c>
      <c r="M79" s="7"/>
    </row>
    <row r="80" ht="22.5" customHeight="1">
      <c r="A80" s="4" t="s">
        <v>228</v>
      </c>
      <c r="B80" s="5">
        <v>96500.0</v>
      </c>
      <c r="C80" s="4" t="s">
        <v>11</v>
      </c>
      <c r="D80" s="6" t="s">
        <v>11</v>
      </c>
      <c r="E80" s="5">
        <v>758.0</v>
      </c>
      <c r="F80" s="4" t="s">
        <v>198</v>
      </c>
      <c r="G80" s="4" t="s">
        <v>18</v>
      </c>
      <c r="H80" s="4" t="s">
        <v>229</v>
      </c>
      <c r="I80" s="7"/>
      <c r="K80" s="4" t="s">
        <v>37</v>
      </c>
      <c r="L80" s="7">
        <f t="shared" si="1"/>
        <v>23</v>
      </c>
      <c r="M80" s="7"/>
    </row>
    <row r="81" ht="22.5" customHeight="1">
      <c r="A81" s="4" t="s">
        <v>230</v>
      </c>
      <c r="B81" s="5">
        <v>99400.0</v>
      </c>
      <c r="C81" s="4" t="s">
        <v>11</v>
      </c>
      <c r="D81" s="6" t="s">
        <v>11</v>
      </c>
      <c r="E81" s="5">
        <v>166.0</v>
      </c>
      <c r="F81" s="4" t="s">
        <v>198</v>
      </c>
      <c r="G81" s="4" t="s">
        <v>41</v>
      </c>
      <c r="H81" s="4" t="s">
        <v>231</v>
      </c>
      <c r="I81" s="7"/>
      <c r="K81" s="4" t="s">
        <v>37</v>
      </c>
      <c r="L81" s="7">
        <f t="shared" si="1"/>
        <v>23</v>
      </c>
      <c r="M81" s="7"/>
    </row>
    <row r="82" ht="22.5" customHeight="1">
      <c r="A82" s="4" t="s">
        <v>232</v>
      </c>
      <c r="B82" s="5">
        <v>102000.0</v>
      </c>
      <c r="C82" s="4" t="s">
        <v>11</v>
      </c>
      <c r="D82" s="6" t="s">
        <v>11</v>
      </c>
      <c r="E82" s="5">
        <v>89.0</v>
      </c>
      <c r="F82" s="4" t="s">
        <v>198</v>
      </c>
      <c r="G82" s="4" t="s">
        <v>115</v>
      </c>
      <c r="H82" s="4" t="s">
        <v>233</v>
      </c>
      <c r="I82" s="7"/>
      <c r="K82" s="4" t="s">
        <v>37</v>
      </c>
      <c r="L82" s="7">
        <f t="shared" si="1"/>
        <v>23</v>
      </c>
      <c r="M82" s="7"/>
    </row>
    <row r="83" ht="22.5" customHeight="1">
      <c r="A83" s="4" t="s">
        <v>234</v>
      </c>
      <c r="B83" s="5">
        <v>103500.0</v>
      </c>
      <c r="C83" s="4" t="s">
        <v>11</v>
      </c>
      <c r="D83" s="6" t="s">
        <v>11</v>
      </c>
      <c r="E83" s="5">
        <v>105.0</v>
      </c>
      <c r="F83" s="4" t="s">
        <v>198</v>
      </c>
      <c r="G83" s="4" t="s">
        <v>41</v>
      </c>
      <c r="H83" s="4" t="s">
        <v>235</v>
      </c>
      <c r="I83" s="7"/>
      <c r="K83" s="4" t="s">
        <v>37</v>
      </c>
      <c r="L83" s="7">
        <f t="shared" si="1"/>
        <v>23</v>
      </c>
      <c r="M83" s="7"/>
    </row>
    <row r="84" ht="22.5" customHeight="1">
      <c r="A84" s="4" t="s">
        <v>236</v>
      </c>
      <c r="B84" s="5">
        <v>110000.0</v>
      </c>
      <c r="C84" s="4" t="s">
        <v>11</v>
      </c>
      <c r="D84" s="6" t="s">
        <v>11</v>
      </c>
      <c r="E84" s="5">
        <v>5.0</v>
      </c>
      <c r="F84" s="4" t="s">
        <v>198</v>
      </c>
      <c r="G84" s="4" t="s">
        <v>16</v>
      </c>
      <c r="H84" s="4" t="s">
        <v>237</v>
      </c>
      <c r="I84" s="7"/>
      <c r="K84" s="4" t="s">
        <v>41</v>
      </c>
      <c r="L84" s="7">
        <f t="shared" si="1"/>
        <v>131</v>
      </c>
      <c r="M84" s="7"/>
    </row>
    <row r="85" ht="22.5" customHeight="1">
      <c r="A85" s="4" t="s">
        <v>238</v>
      </c>
      <c r="B85" s="5">
        <v>115994.0</v>
      </c>
      <c r="C85" s="4" t="s">
        <v>11</v>
      </c>
      <c r="D85" s="6" t="s">
        <v>11</v>
      </c>
      <c r="E85" s="5">
        <v>1000.0</v>
      </c>
      <c r="F85" s="4" t="s">
        <v>198</v>
      </c>
      <c r="G85" s="4" t="s">
        <v>66</v>
      </c>
      <c r="H85" s="4" t="s">
        <v>239</v>
      </c>
      <c r="I85" s="7"/>
      <c r="K85" s="4" t="s">
        <v>41</v>
      </c>
      <c r="L85" s="7">
        <f t="shared" si="1"/>
        <v>131</v>
      </c>
      <c r="M85" s="7"/>
    </row>
    <row r="86" ht="22.5" customHeight="1">
      <c r="A86" s="4" t="s">
        <v>240</v>
      </c>
      <c r="B86" s="5">
        <v>116900.0</v>
      </c>
      <c r="C86" s="4" t="s">
        <v>11</v>
      </c>
      <c r="D86" s="6" t="s">
        <v>11</v>
      </c>
      <c r="E86" s="5">
        <v>3000.0</v>
      </c>
      <c r="F86" s="4" t="s">
        <v>198</v>
      </c>
      <c r="G86" s="4" t="s">
        <v>41</v>
      </c>
      <c r="H86" s="4" t="s">
        <v>241</v>
      </c>
      <c r="I86" s="7"/>
      <c r="K86" s="4" t="s">
        <v>41</v>
      </c>
      <c r="L86" s="7">
        <f t="shared" si="1"/>
        <v>131</v>
      </c>
      <c r="M86" s="7"/>
    </row>
    <row r="87" ht="22.5" customHeight="1">
      <c r="A87" s="4" t="s">
        <v>242</v>
      </c>
      <c r="B87" s="5">
        <v>117000.0</v>
      </c>
      <c r="C87" s="4" t="s">
        <v>11</v>
      </c>
      <c r="D87" s="6" t="s">
        <v>11</v>
      </c>
      <c r="E87" s="5">
        <v>233.0</v>
      </c>
      <c r="F87" s="4" t="s">
        <v>198</v>
      </c>
      <c r="G87" s="4" t="s">
        <v>115</v>
      </c>
      <c r="H87" s="4" t="s">
        <v>243</v>
      </c>
      <c r="I87" s="7"/>
      <c r="K87" s="4" t="s">
        <v>41</v>
      </c>
      <c r="L87" s="7">
        <f t="shared" si="1"/>
        <v>131</v>
      </c>
      <c r="M87" s="7"/>
    </row>
    <row r="88" ht="22.5" customHeight="1">
      <c r="A88" s="4" t="s">
        <v>244</v>
      </c>
      <c r="B88" s="5">
        <v>118000.0</v>
      </c>
      <c r="C88" s="4" t="s">
        <v>11</v>
      </c>
      <c r="D88" s="6" t="s">
        <v>11</v>
      </c>
      <c r="E88" s="5">
        <v>3000.0</v>
      </c>
      <c r="F88" s="4" t="s">
        <v>198</v>
      </c>
      <c r="G88" s="4" t="s">
        <v>41</v>
      </c>
      <c r="H88" s="4" t="s">
        <v>245</v>
      </c>
      <c r="I88" s="7"/>
      <c r="K88" s="4" t="s">
        <v>41</v>
      </c>
      <c r="L88" s="7">
        <f t="shared" si="1"/>
        <v>131</v>
      </c>
      <c r="M88" s="7"/>
    </row>
    <row r="89" ht="22.5" customHeight="1">
      <c r="A89" s="4" t="s">
        <v>246</v>
      </c>
      <c r="B89" s="5">
        <v>118000.0</v>
      </c>
      <c r="C89" s="4" t="s">
        <v>11</v>
      </c>
      <c r="D89" s="6" t="s">
        <v>11</v>
      </c>
      <c r="E89" s="5">
        <v>10000.0</v>
      </c>
      <c r="F89" s="4" t="s">
        <v>198</v>
      </c>
      <c r="G89" s="4" t="s">
        <v>41</v>
      </c>
      <c r="H89" s="4" t="s">
        <v>247</v>
      </c>
      <c r="I89" s="7"/>
      <c r="K89" s="4" t="s">
        <v>41</v>
      </c>
      <c r="L89" s="7">
        <f t="shared" si="1"/>
        <v>131</v>
      </c>
      <c r="M89" s="7"/>
    </row>
    <row r="90" ht="22.5" customHeight="1">
      <c r="A90" s="4" t="s">
        <v>248</v>
      </c>
      <c r="B90" s="5">
        <v>120000.0</v>
      </c>
      <c r="C90" s="4" t="s">
        <v>11</v>
      </c>
      <c r="D90" s="6" t="s">
        <v>11</v>
      </c>
      <c r="E90" s="5">
        <v>546.0</v>
      </c>
      <c r="F90" s="4" t="s">
        <v>198</v>
      </c>
      <c r="G90" s="4" t="s">
        <v>41</v>
      </c>
      <c r="H90" s="4" t="s">
        <v>249</v>
      </c>
      <c r="I90" s="7"/>
      <c r="K90" s="4" t="s">
        <v>41</v>
      </c>
      <c r="L90" s="7">
        <f t="shared" si="1"/>
        <v>131</v>
      </c>
      <c r="M90" s="7"/>
    </row>
    <row r="91" ht="22.5" customHeight="1">
      <c r="A91" s="4" t="s">
        <v>250</v>
      </c>
      <c r="B91" s="5">
        <v>121485.0</v>
      </c>
      <c r="C91" s="4" t="s">
        <v>11</v>
      </c>
      <c r="D91" s="6" t="s">
        <v>11</v>
      </c>
      <c r="E91" s="5">
        <v>132.0</v>
      </c>
      <c r="F91" s="4" t="s">
        <v>198</v>
      </c>
      <c r="G91" s="4" t="s">
        <v>49</v>
      </c>
      <c r="H91" s="4" t="s">
        <v>251</v>
      </c>
      <c r="I91" s="7"/>
      <c r="K91" s="4" t="s">
        <v>41</v>
      </c>
      <c r="L91" s="7">
        <f t="shared" si="1"/>
        <v>131</v>
      </c>
      <c r="M91" s="7"/>
    </row>
    <row r="92" ht="22.5" customHeight="1">
      <c r="A92" s="4" t="s">
        <v>252</v>
      </c>
      <c r="B92" s="5">
        <v>125000.0</v>
      </c>
      <c r="C92" s="4" t="s">
        <v>11</v>
      </c>
      <c r="D92" s="6" t="s">
        <v>11</v>
      </c>
      <c r="E92" s="5">
        <v>1000.0</v>
      </c>
      <c r="F92" s="4" t="s">
        <v>198</v>
      </c>
      <c r="G92" s="4" t="s">
        <v>117</v>
      </c>
      <c r="H92" s="4" t="s">
        <v>253</v>
      </c>
      <c r="I92" s="7"/>
      <c r="K92" s="4" t="s">
        <v>41</v>
      </c>
      <c r="L92" s="7">
        <f t="shared" si="1"/>
        <v>131</v>
      </c>
      <c r="M92" s="7"/>
    </row>
    <row r="93" ht="22.5" customHeight="1">
      <c r="A93" s="4" t="s">
        <v>254</v>
      </c>
      <c r="B93" s="5">
        <v>125129.0</v>
      </c>
      <c r="C93" s="4" t="s">
        <v>11</v>
      </c>
      <c r="D93" s="6" t="s">
        <v>11</v>
      </c>
      <c r="E93" s="5">
        <v>1000.0</v>
      </c>
      <c r="F93" s="4" t="s">
        <v>198</v>
      </c>
      <c r="G93" s="4" t="s">
        <v>41</v>
      </c>
      <c r="H93" s="4" t="s">
        <v>255</v>
      </c>
      <c r="I93" s="7"/>
      <c r="K93" s="4" t="s">
        <v>41</v>
      </c>
      <c r="L93" s="7">
        <f t="shared" si="1"/>
        <v>131</v>
      </c>
      <c r="M93" s="7"/>
    </row>
    <row r="94" ht="22.5" customHeight="1">
      <c r="A94" s="4" t="s">
        <v>256</v>
      </c>
      <c r="B94" s="5">
        <v>127440.0</v>
      </c>
      <c r="C94" s="4" t="s">
        <v>11</v>
      </c>
      <c r="D94" s="6" t="s">
        <v>11</v>
      </c>
      <c r="E94" s="5">
        <v>6.0</v>
      </c>
      <c r="F94" s="4" t="s">
        <v>198</v>
      </c>
      <c r="G94" s="4" t="s">
        <v>91</v>
      </c>
      <c r="H94" s="4" t="s">
        <v>257</v>
      </c>
      <c r="I94" s="7"/>
      <c r="K94" s="4" t="s">
        <v>41</v>
      </c>
      <c r="L94" s="7">
        <f t="shared" si="1"/>
        <v>131</v>
      </c>
      <c r="M94" s="7"/>
    </row>
    <row r="95" ht="22.5" customHeight="1">
      <c r="A95" s="4" t="s">
        <v>258</v>
      </c>
      <c r="B95" s="5">
        <v>128708.0</v>
      </c>
      <c r="C95" s="4" t="s">
        <v>11</v>
      </c>
      <c r="D95" s="6" t="s">
        <v>11</v>
      </c>
      <c r="E95" s="5">
        <v>3000.0</v>
      </c>
      <c r="F95" s="4" t="s">
        <v>198</v>
      </c>
      <c r="G95" s="4" t="s">
        <v>57</v>
      </c>
      <c r="H95" s="4" t="s">
        <v>259</v>
      </c>
      <c r="I95" s="7"/>
      <c r="K95" s="4" t="s">
        <v>41</v>
      </c>
      <c r="L95" s="7">
        <f t="shared" si="1"/>
        <v>131</v>
      </c>
      <c r="M95" s="7"/>
    </row>
    <row r="96" ht="22.5" customHeight="1">
      <c r="A96" s="4" t="s">
        <v>260</v>
      </c>
      <c r="B96" s="5">
        <v>131100.0</v>
      </c>
      <c r="C96" s="4" t="s">
        <v>11</v>
      </c>
      <c r="D96" s="6" t="s">
        <v>11</v>
      </c>
      <c r="E96" s="5">
        <v>1000.0</v>
      </c>
      <c r="F96" s="4" t="s">
        <v>198</v>
      </c>
      <c r="G96" s="4" t="s">
        <v>41</v>
      </c>
      <c r="H96" s="4" t="s">
        <v>261</v>
      </c>
      <c r="I96" s="7"/>
      <c r="K96" s="4" t="s">
        <v>41</v>
      </c>
      <c r="L96" s="7">
        <f t="shared" si="1"/>
        <v>131</v>
      </c>
      <c r="M96" s="7"/>
    </row>
    <row r="97" ht="22.5" customHeight="1">
      <c r="A97" s="4" t="s">
        <v>262</v>
      </c>
      <c r="B97" s="5">
        <v>133558.0</v>
      </c>
      <c r="C97" s="4" t="s">
        <v>11</v>
      </c>
      <c r="D97" s="6" t="s">
        <v>11</v>
      </c>
      <c r="E97" s="5">
        <v>129.0</v>
      </c>
      <c r="F97" s="4" t="s">
        <v>198</v>
      </c>
      <c r="G97" s="4" t="s">
        <v>115</v>
      </c>
      <c r="H97" s="4" t="s">
        <v>263</v>
      </c>
      <c r="I97" s="7"/>
      <c r="K97" s="4" t="s">
        <v>41</v>
      </c>
      <c r="L97" s="7">
        <f t="shared" si="1"/>
        <v>131</v>
      </c>
      <c r="M97" s="7"/>
    </row>
    <row r="98" ht="22.5" customHeight="1">
      <c r="A98" s="4" t="s">
        <v>264</v>
      </c>
      <c r="B98" s="5">
        <v>135000.0</v>
      </c>
      <c r="C98" s="4" t="s">
        <v>11</v>
      </c>
      <c r="D98" s="6" t="s">
        <v>11</v>
      </c>
      <c r="E98" s="5">
        <v>244.0</v>
      </c>
      <c r="F98" s="4" t="s">
        <v>198</v>
      </c>
      <c r="G98" s="4" t="s">
        <v>66</v>
      </c>
      <c r="H98" s="4" t="s">
        <v>265</v>
      </c>
      <c r="I98" s="7"/>
      <c r="K98" s="4" t="s">
        <v>41</v>
      </c>
      <c r="L98" s="7">
        <f t="shared" si="1"/>
        <v>131</v>
      </c>
      <c r="M98" s="7"/>
    </row>
    <row r="99" ht="22.5" customHeight="1">
      <c r="A99" s="4" t="s">
        <v>266</v>
      </c>
      <c r="B99" s="5">
        <v>137000.0</v>
      </c>
      <c r="C99" s="4" t="s">
        <v>11</v>
      </c>
      <c r="D99" s="6" t="s">
        <v>11</v>
      </c>
      <c r="E99" s="5">
        <v>43.0</v>
      </c>
      <c r="F99" s="4" t="s">
        <v>198</v>
      </c>
      <c r="G99" s="4" t="s">
        <v>83</v>
      </c>
      <c r="H99" s="4" t="s">
        <v>267</v>
      </c>
      <c r="I99" s="7"/>
      <c r="K99" s="4" t="s">
        <v>41</v>
      </c>
      <c r="L99" s="7">
        <f t="shared" si="1"/>
        <v>131</v>
      </c>
      <c r="M99" s="7"/>
    </row>
    <row r="100" ht="22.5" customHeight="1">
      <c r="A100" s="4" t="s">
        <v>268</v>
      </c>
      <c r="B100" s="5">
        <v>138400.0</v>
      </c>
      <c r="C100" s="4" t="s">
        <v>11</v>
      </c>
      <c r="D100" s="6" t="s">
        <v>11</v>
      </c>
      <c r="E100" s="5">
        <v>13.0</v>
      </c>
      <c r="F100" s="4" t="s">
        <v>198</v>
      </c>
      <c r="G100" s="4" t="s">
        <v>35</v>
      </c>
      <c r="H100" s="4" t="s">
        <v>269</v>
      </c>
      <c r="I100" s="7"/>
      <c r="K100" s="4" t="s">
        <v>41</v>
      </c>
      <c r="L100" s="7">
        <f t="shared" si="1"/>
        <v>131</v>
      </c>
      <c r="M100" s="7"/>
    </row>
    <row r="101" ht="22.5" customHeight="1">
      <c r="A101" s="4" t="s">
        <v>270</v>
      </c>
      <c r="B101" s="5">
        <v>138400.0</v>
      </c>
      <c r="C101" s="4" t="s">
        <v>11</v>
      </c>
      <c r="D101" s="6" t="s">
        <v>11</v>
      </c>
      <c r="E101" s="5">
        <v>212.0</v>
      </c>
      <c r="F101" s="4" t="s">
        <v>198</v>
      </c>
      <c r="G101" s="4" t="s">
        <v>35</v>
      </c>
      <c r="H101" s="4" t="s">
        <v>271</v>
      </c>
      <c r="I101" s="7"/>
      <c r="K101" s="4" t="s">
        <v>41</v>
      </c>
      <c r="L101" s="7">
        <f t="shared" si="1"/>
        <v>131</v>
      </c>
      <c r="M101" s="7"/>
    </row>
    <row r="102" ht="22.5" customHeight="1">
      <c r="A102" s="4" t="s">
        <v>272</v>
      </c>
      <c r="B102" s="5">
        <v>139800.0</v>
      </c>
      <c r="C102" s="4" t="s">
        <v>11</v>
      </c>
      <c r="D102" s="6" t="s">
        <v>11</v>
      </c>
      <c r="E102" s="5">
        <v>35.0</v>
      </c>
      <c r="F102" s="4" t="s">
        <v>198</v>
      </c>
      <c r="G102" s="4" t="s">
        <v>35</v>
      </c>
      <c r="H102" s="4" t="s">
        <v>273</v>
      </c>
      <c r="I102" s="7"/>
      <c r="K102" s="4" t="s">
        <v>41</v>
      </c>
      <c r="L102" s="7">
        <f t="shared" si="1"/>
        <v>131</v>
      </c>
      <c r="M102" s="7"/>
    </row>
    <row r="103" ht="22.5" customHeight="1">
      <c r="A103" s="4" t="s">
        <v>274</v>
      </c>
      <c r="B103" s="5">
        <v>142800.0</v>
      </c>
      <c r="C103" s="4" t="s">
        <v>11</v>
      </c>
      <c r="D103" s="6" t="s">
        <v>11</v>
      </c>
      <c r="E103" s="5">
        <v>470.0</v>
      </c>
      <c r="F103" s="4" t="s">
        <v>198</v>
      </c>
      <c r="G103" s="4" t="s">
        <v>45</v>
      </c>
      <c r="H103" s="4" t="s">
        <v>275</v>
      </c>
      <c r="I103" s="7"/>
      <c r="K103" s="4" t="s">
        <v>41</v>
      </c>
      <c r="L103" s="7">
        <f t="shared" si="1"/>
        <v>131</v>
      </c>
      <c r="M103" s="7"/>
    </row>
    <row r="104" ht="22.5" customHeight="1">
      <c r="A104" s="4" t="s">
        <v>276</v>
      </c>
      <c r="B104" s="5">
        <v>149000.0</v>
      </c>
      <c r="C104" s="4" t="s">
        <v>11</v>
      </c>
      <c r="D104" s="6" t="s">
        <v>11</v>
      </c>
      <c r="E104" s="5">
        <v>3000.0</v>
      </c>
      <c r="F104" s="4" t="s">
        <v>198</v>
      </c>
      <c r="G104" s="4" t="s">
        <v>41</v>
      </c>
      <c r="H104" s="4" t="s">
        <v>277</v>
      </c>
      <c r="I104" s="7"/>
      <c r="K104" s="4" t="s">
        <v>41</v>
      </c>
      <c r="L104" s="7">
        <f t="shared" si="1"/>
        <v>131</v>
      </c>
      <c r="M104" s="7"/>
    </row>
    <row r="105" ht="22.5" customHeight="1">
      <c r="A105" s="4" t="s">
        <v>278</v>
      </c>
      <c r="B105" s="5">
        <v>152900.0</v>
      </c>
      <c r="C105" s="4" t="s">
        <v>11</v>
      </c>
      <c r="D105" s="6" t="s">
        <v>11</v>
      </c>
      <c r="E105" s="5">
        <v>10.0</v>
      </c>
      <c r="F105" s="4" t="s">
        <v>198</v>
      </c>
      <c r="G105" s="4" t="s">
        <v>41</v>
      </c>
      <c r="H105" s="4" t="s">
        <v>279</v>
      </c>
      <c r="I105" s="7"/>
      <c r="K105" s="4" t="s">
        <v>41</v>
      </c>
      <c r="L105" s="7">
        <f t="shared" si="1"/>
        <v>131</v>
      </c>
      <c r="M105" s="7"/>
    </row>
    <row r="106" ht="22.5" customHeight="1">
      <c r="A106" s="4" t="s">
        <v>280</v>
      </c>
      <c r="B106" s="5">
        <v>160000.0</v>
      </c>
      <c r="C106" s="4" t="s">
        <v>11</v>
      </c>
      <c r="D106" s="6" t="s">
        <v>11</v>
      </c>
      <c r="E106" s="5">
        <v>1000.0</v>
      </c>
      <c r="F106" s="4" t="s">
        <v>198</v>
      </c>
      <c r="G106" s="4" t="s">
        <v>57</v>
      </c>
      <c r="H106" s="4" t="s">
        <v>281</v>
      </c>
      <c r="I106" s="7"/>
      <c r="K106" s="4" t="s">
        <v>41</v>
      </c>
      <c r="L106" s="7">
        <f t="shared" si="1"/>
        <v>131</v>
      </c>
      <c r="M106" s="7"/>
    </row>
    <row r="107" ht="22.5" customHeight="1">
      <c r="A107" s="4" t="s">
        <v>282</v>
      </c>
      <c r="B107" s="5">
        <v>160030.0</v>
      </c>
      <c r="C107" s="4" t="s">
        <v>11</v>
      </c>
      <c r="D107" s="6" t="s">
        <v>11</v>
      </c>
      <c r="E107" s="5">
        <v>1000.0</v>
      </c>
      <c r="F107" s="4" t="s">
        <v>198</v>
      </c>
      <c r="G107" s="4" t="s">
        <v>57</v>
      </c>
      <c r="H107" s="4" t="s">
        <v>283</v>
      </c>
      <c r="I107" s="7"/>
      <c r="K107" s="4" t="s">
        <v>41</v>
      </c>
      <c r="L107" s="7">
        <f t="shared" si="1"/>
        <v>131</v>
      </c>
      <c r="M107" s="7"/>
    </row>
    <row r="108" ht="22.5" customHeight="1">
      <c r="A108" s="4" t="s">
        <v>284</v>
      </c>
      <c r="B108" s="5">
        <v>200000.0</v>
      </c>
      <c r="C108" s="4" t="s">
        <v>11</v>
      </c>
      <c r="D108" s="6" t="s">
        <v>11</v>
      </c>
      <c r="E108" s="5">
        <v>465.0</v>
      </c>
      <c r="F108" s="4" t="s">
        <v>198</v>
      </c>
      <c r="G108" s="4" t="s">
        <v>33</v>
      </c>
      <c r="H108" s="4" t="s">
        <v>285</v>
      </c>
      <c r="I108" s="7"/>
      <c r="K108" s="4" t="s">
        <v>41</v>
      </c>
      <c r="L108" s="7">
        <f t="shared" si="1"/>
        <v>131</v>
      </c>
      <c r="M108" s="7"/>
    </row>
    <row r="109" ht="22.5" customHeight="1">
      <c r="A109" s="4" t="s">
        <v>286</v>
      </c>
      <c r="B109" s="5">
        <v>260000.0</v>
      </c>
      <c r="C109" s="4" t="s">
        <v>11</v>
      </c>
      <c r="D109" s="6" t="s">
        <v>11</v>
      </c>
      <c r="E109" s="5">
        <v>64.0</v>
      </c>
      <c r="F109" s="4" t="s">
        <v>198</v>
      </c>
      <c r="G109" s="4" t="s">
        <v>71</v>
      </c>
      <c r="H109" s="4" t="s">
        <v>287</v>
      </c>
      <c r="I109" s="7"/>
      <c r="K109" s="4" t="s">
        <v>41</v>
      </c>
      <c r="L109" s="7">
        <f t="shared" si="1"/>
        <v>131</v>
      </c>
      <c r="M109" s="7"/>
    </row>
    <row r="110" ht="22.5" customHeight="1">
      <c r="A110" s="4" t="s">
        <v>288</v>
      </c>
      <c r="B110" s="5">
        <v>287570.0</v>
      </c>
      <c r="C110" s="4" t="s">
        <v>11</v>
      </c>
      <c r="D110" s="6" t="s">
        <v>11</v>
      </c>
      <c r="E110" s="5">
        <v>12.0</v>
      </c>
      <c r="F110" s="4" t="s">
        <v>198</v>
      </c>
      <c r="G110" s="4" t="s">
        <v>49</v>
      </c>
      <c r="H110" s="4" t="s">
        <v>289</v>
      </c>
      <c r="I110" s="7"/>
      <c r="K110" s="4" t="s">
        <v>41</v>
      </c>
      <c r="L110" s="7">
        <f t="shared" si="1"/>
        <v>131</v>
      </c>
      <c r="M110" s="7"/>
    </row>
    <row r="111" ht="22.5" customHeight="1">
      <c r="A111" s="4" t="s">
        <v>290</v>
      </c>
      <c r="B111" s="5">
        <v>290500.0</v>
      </c>
      <c r="C111" s="4" t="s">
        <v>11</v>
      </c>
      <c r="D111" s="6" t="s">
        <v>11</v>
      </c>
      <c r="E111" s="5">
        <v>92.0</v>
      </c>
      <c r="F111" s="4" t="s">
        <v>198</v>
      </c>
      <c r="G111" s="4" t="s">
        <v>41</v>
      </c>
      <c r="H111" s="4" t="s">
        <v>291</v>
      </c>
      <c r="I111" s="7"/>
      <c r="K111" s="4" t="s">
        <v>41</v>
      </c>
      <c r="L111" s="7">
        <f t="shared" si="1"/>
        <v>131</v>
      </c>
      <c r="M111" s="7"/>
    </row>
    <row r="112" ht="22.5" customHeight="1">
      <c r="A112" s="4" t="s">
        <v>292</v>
      </c>
      <c r="B112" s="5">
        <v>292500.0</v>
      </c>
      <c r="C112" s="4" t="s">
        <v>11</v>
      </c>
      <c r="D112" s="6" t="s">
        <v>11</v>
      </c>
      <c r="E112" s="5">
        <v>705.0</v>
      </c>
      <c r="F112" s="4" t="s">
        <v>198</v>
      </c>
      <c r="G112" s="4" t="s">
        <v>53</v>
      </c>
      <c r="H112" s="4" t="s">
        <v>293</v>
      </c>
      <c r="I112" s="7"/>
      <c r="K112" s="4" t="s">
        <v>41</v>
      </c>
      <c r="L112" s="7">
        <f t="shared" si="1"/>
        <v>131</v>
      </c>
      <c r="M112" s="7"/>
    </row>
    <row r="113" ht="22.5" customHeight="1">
      <c r="A113" s="4" t="s">
        <v>294</v>
      </c>
      <c r="B113" s="5">
        <v>310000.0</v>
      </c>
      <c r="C113" s="4" t="s">
        <v>11</v>
      </c>
      <c r="D113" s="6" t="s">
        <v>11</v>
      </c>
      <c r="E113" s="5">
        <v>99.0</v>
      </c>
      <c r="F113" s="4" t="s">
        <v>198</v>
      </c>
      <c r="G113" s="4" t="s">
        <v>41</v>
      </c>
      <c r="H113" s="4" t="s">
        <v>295</v>
      </c>
      <c r="I113" s="7"/>
      <c r="K113" s="4" t="s">
        <v>41</v>
      </c>
      <c r="L113" s="7">
        <f t="shared" si="1"/>
        <v>131</v>
      </c>
      <c r="M113" s="7"/>
    </row>
    <row r="114" ht="22.5" customHeight="1">
      <c r="A114" s="4" t="s">
        <v>296</v>
      </c>
      <c r="B114" s="5">
        <v>353000.0</v>
      </c>
      <c r="C114" s="4" t="s">
        <v>11</v>
      </c>
      <c r="D114" s="6" t="s">
        <v>11</v>
      </c>
      <c r="E114" s="5">
        <v>5.0</v>
      </c>
      <c r="F114" s="4" t="s">
        <v>198</v>
      </c>
      <c r="G114" s="4" t="s">
        <v>21</v>
      </c>
      <c r="H114" s="4" t="s">
        <v>297</v>
      </c>
      <c r="I114" s="7"/>
      <c r="K114" s="4" t="s">
        <v>41</v>
      </c>
      <c r="L114" s="7">
        <f t="shared" si="1"/>
        <v>131</v>
      </c>
      <c r="M114" s="7"/>
    </row>
    <row r="115" ht="22.5" customHeight="1">
      <c r="A115" s="4" t="s">
        <v>298</v>
      </c>
      <c r="B115" s="5">
        <v>375507.0</v>
      </c>
      <c r="C115" s="4" t="s">
        <v>11</v>
      </c>
      <c r="D115" s="6" t="s">
        <v>11</v>
      </c>
      <c r="E115" s="5">
        <v>119.0</v>
      </c>
      <c r="F115" s="4" t="s">
        <v>198</v>
      </c>
      <c r="G115" s="4" t="s">
        <v>66</v>
      </c>
      <c r="H115" s="4" t="s">
        <v>299</v>
      </c>
      <c r="I115" s="7"/>
      <c r="K115" s="4" t="s">
        <v>41</v>
      </c>
      <c r="L115" s="7">
        <f t="shared" si="1"/>
        <v>131</v>
      </c>
      <c r="M115" s="7"/>
    </row>
    <row r="116" ht="22.5" customHeight="1">
      <c r="A116" s="4" t="s">
        <v>300</v>
      </c>
      <c r="B116" s="5">
        <v>540000.0</v>
      </c>
      <c r="C116" s="4" t="s">
        <v>11</v>
      </c>
      <c r="D116" s="6" t="s">
        <v>11</v>
      </c>
      <c r="E116" s="5">
        <v>477.0</v>
      </c>
      <c r="F116" s="4" t="s">
        <v>198</v>
      </c>
      <c r="G116" s="4" t="s">
        <v>115</v>
      </c>
      <c r="H116" s="4" t="s">
        <v>301</v>
      </c>
      <c r="I116" s="7"/>
      <c r="K116" s="4" t="s">
        <v>41</v>
      </c>
      <c r="L116" s="7">
        <f t="shared" si="1"/>
        <v>131</v>
      </c>
      <c r="M116" s="7"/>
    </row>
    <row r="117" ht="22.5" customHeight="1">
      <c r="A117" s="4" t="s">
        <v>302</v>
      </c>
      <c r="B117" s="5">
        <v>46800.0</v>
      </c>
      <c r="C117" s="4" t="s">
        <v>11</v>
      </c>
      <c r="D117" s="6" t="s">
        <v>11</v>
      </c>
      <c r="E117" s="6" t="s">
        <v>11</v>
      </c>
      <c r="F117" s="4" t="s">
        <v>303</v>
      </c>
      <c r="G117" s="4" t="s">
        <v>16</v>
      </c>
      <c r="H117" s="4" t="s">
        <v>304</v>
      </c>
      <c r="I117" s="7"/>
      <c r="K117" s="4" t="s">
        <v>41</v>
      </c>
      <c r="L117" s="7">
        <f t="shared" si="1"/>
        <v>131</v>
      </c>
      <c r="M117" s="7"/>
    </row>
    <row r="118" ht="22.5" customHeight="1">
      <c r="A118" s="4" t="s">
        <v>305</v>
      </c>
      <c r="B118" s="5">
        <v>92500.0</v>
      </c>
      <c r="C118" s="4" t="s">
        <v>11</v>
      </c>
      <c r="D118" s="6" t="s">
        <v>11</v>
      </c>
      <c r="E118" s="6" t="s">
        <v>11</v>
      </c>
      <c r="F118" s="4" t="s">
        <v>303</v>
      </c>
      <c r="G118" s="4" t="s">
        <v>159</v>
      </c>
      <c r="H118" s="4" t="s">
        <v>306</v>
      </c>
      <c r="I118" s="7"/>
      <c r="K118" s="4" t="s">
        <v>41</v>
      </c>
      <c r="L118" s="7">
        <f t="shared" si="1"/>
        <v>131</v>
      </c>
      <c r="M118" s="7"/>
    </row>
    <row r="119" ht="22.5" customHeight="1">
      <c r="A119" s="4" t="s">
        <v>307</v>
      </c>
      <c r="B119" s="5">
        <v>135000.0</v>
      </c>
      <c r="C119" s="4" t="s">
        <v>11</v>
      </c>
      <c r="D119" s="6" t="s">
        <v>11</v>
      </c>
      <c r="E119" s="6" t="s">
        <v>11</v>
      </c>
      <c r="F119" s="4" t="s">
        <v>303</v>
      </c>
      <c r="G119" s="4" t="s">
        <v>29</v>
      </c>
      <c r="H119" s="4" t="s">
        <v>308</v>
      </c>
      <c r="I119" s="7"/>
      <c r="K119" s="4" t="s">
        <v>41</v>
      </c>
      <c r="L119" s="7">
        <f t="shared" si="1"/>
        <v>131</v>
      </c>
      <c r="M119" s="7"/>
    </row>
    <row r="120" ht="22.5" customHeight="1">
      <c r="A120" s="4" t="s">
        <v>309</v>
      </c>
      <c r="B120" s="5">
        <v>143960.0</v>
      </c>
      <c r="C120" s="4" t="s">
        <v>11</v>
      </c>
      <c r="D120" s="6" t="s">
        <v>11</v>
      </c>
      <c r="E120" s="6" t="s">
        <v>11</v>
      </c>
      <c r="F120" s="4" t="s">
        <v>303</v>
      </c>
      <c r="G120" s="4" t="s">
        <v>57</v>
      </c>
      <c r="H120" s="4" t="s">
        <v>310</v>
      </c>
      <c r="I120" s="7"/>
      <c r="K120" s="4" t="s">
        <v>41</v>
      </c>
      <c r="L120" s="7">
        <f t="shared" si="1"/>
        <v>131</v>
      </c>
      <c r="M120" s="7"/>
    </row>
    <row r="121" ht="22.5" customHeight="1">
      <c r="A121" s="4" t="s">
        <v>311</v>
      </c>
      <c r="B121" s="5">
        <v>168000.0</v>
      </c>
      <c r="C121" s="4" t="s">
        <v>11</v>
      </c>
      <c r="D121" s="6" t="s">
        <v>11</v>
      </c>
      <c r="E121" s="6" t="s">
        <v>11</v>
      </c>
      <c r="F121" s="4" t="s">
        <v>303</v>
      </c>
      <c r="G121" s="4" t="s">
        <v>18</v>
      </c>
      <c r="H121" s="4" t="s">
        <v>312</v>
      </c>
      <c r="I121" s="7"/>
      <c r="K121" s="4" t="s">
        <v>41</v>
      </c>
      <c r="L121" s="7">
        <f t="shared" si="1"/>
        <v>131</v>
      </c>
      <c r="M121" s="7"/>
    </row>
    <row r="122" ht="22.5" customHeight="1">
      <c r="A122" s="4" t="s">
        <v>313</v>
      </c>
      <c r="B122" s="5">
        <v>180900.0</v>
      </c>
      <c r="C122" s="4" t="s">
        <v>11</v>
      </c>
      <c r="D122" s="6" t="s">
        <v>11</v>
      </c>
      <c r="E122" s="6" t="s">
        <v>11</v>
      </c>
      <c r="F122" s="4" t="s">
        <v>303</v>
      </c>
      <c r="G122" s="4" t="s">
        <v>16</v>
      </c>
      <c r="H122" s="4" t="s">
        <v>314</v>
      </c>
      <c r="I122" s="7"/>
      <c r="K122" s="4" t="s">
        <v>41</v>
      </c>
      <c r="L122" s="7">
        <f t="shared" si="1"/>
        <v>131</v>
      </c>
      <c r="M122" s="7"/>
    </row>
    <row r="123" ht="22.5" customHeight="1">
      <c r="A123" s="4" t="s">
        <v>315</v>
      </c>
      <c r="B123" s="5">
        <v>190000.0</v>
      </c>
      <c r="C123" s="4" t="s">
        <v>11</v>
      </c>
      <c r="D123" s="6" t="s">
        <v>11</v>
      </c>
      <c r="E123" s="6" t="s">
        <v>11</v>
      </c>
      <c r="F123" s="4" t="s">
        <v>303</v>
      </c>
      <c r="G123" s="4" t="s">
        <v>29</v>
      </c>
      <c r="H123" s="4" t="s">
        <v>316</v>
      </c>
      <c r="I123" s="7"/>
      <c r="K123" s="4" t="s">
        <v>41</v>
      </c>
      <c r="L123" s="7">
        <f t="shared" si="1"/>
        <v>131</v>
      </c>
      <c r="M123" s="7"/>
    </row>
    <row r="124" ht="22.5" customHeight="1">
      <c r="A124" s="4" t="s">
        <v>317</v>
      </c>
      <c r="B124" s="5">
        <v>219087.0</v>
      </c>
      <c r="C124" s="4" t="s">
        <v>11</v>
      </c>
      <c r="D124" s="6" t="s">
        <v>11</v>
      </c>
      <c r="E124" s="6" t="s">
        <v>11</v>
      </c>
      <c r="F124" s="4" t="s">
        <v>303</v>
      </c>
      <c r="G124" s="4" t="s">
        <v>16</v>
      </c>
      <c r="H124" s="4" t="s">
        <v>318</v>
      </c>
      <c r="I124" s="7"/>
      <c r="K124" s="4" t="s">
        <v>41</v>
      </c>
      <c r="L124" s="7">
        <f t="shared" si="1"/>
        <v>131</v>
      </c>
      <c r="M124" s="7"/>
    </row>
    <row r="125" ht="22.5" customHeight="1">
      <c r="A125" s="4" t="s">
        <v>319</v>
      </c>
      <c r="B125" s="5">
        <v>227000.0</v>
      </c>
      <c r="C125" s="4" t="s">
        <v>11</v>
      </c>
      <c r="D125" s="6" t="s">
        <v>11</v>
      </c>
      <c r="E125" s="6" t="s">
        <v>11</v>
      </c>
      <c r="F125" s="4" t="s">
        <v>303</v>
      </c>
      <c r="G125" s="4" t="s">
        <v>66</v>
      </c>
      <c r="H125" s="4" t="s">
        <v>320</v>
      </c>
      <c r="I125" s="7"/>
      <c r="K125" s="4" t="s">
        <v>41</v>
      </c>
      <c r="L125" s="7">
        <f t="shared" si="1"/>
        <v>131</v>
      </c>
      <c r="M125" s="7"/>
    </row>
    <row r="126" ht="22.5" customHeight="1">
      <c r="A126" s="4" t="s">
        <v>321</v>
      </c>
      <c r="B126" s="5">
        <v>290000.0</v>
      </c>
      <c r="C126" s="4" t="s">
        <v>11</v>
      </c>
      <c r="D126" s="6" t="s">
        <v>11</v>
      </c>
      <c r="E126" s="6" t="s">
        <v>11</v>
      </c>
      <c r="F126" s="4" t="s">
        <v>303</v>
      </c>
      <c r="G126" s="4" t="s">
        <v>23</v>
      </c>
      <c r="H126" s="4" t="s">
        <v>322</v>
      </c>
      <c r="I126" s="7"/>
      <c r="K126" s="4" t="s">
        <v>41</v>
      </c>
      <c r="L126" s="7">
        <f t="shared" si="1"/>
        <v>131</v>
      </c>
      <c r="M126" s="7"/>
    </row>
    <row r="127" ht="22.5" customHeight="1">
      <c r="A127" s="4" t="s">
        <v>323</v>
      </c>
      <c r="B127" s="5">
        <v>40000.0</v>
      </c>
      <c r="C127" s="4" t="s">
        <v>11</v>
      </c>
      <c r="D127" s="6" t="s">
        <v>11</v>
      </c>
      <c r="E127" s="5">
        <v>178.0</v>
      </c>
      <c r="F127" s="4" t="s">
        <v>324</v>
      </c>
      <c r="G127" s="4" t="s">
        <v>16</v>
      </c>
      <c r="H127" s="4" t="s">
        <v>325</v>
      </c>
      <c r="I127" s="7"/>
      <c r="K127" s="4" t="s">
        <v>41</v>
      </c>
      <c r="L127" s="7">
        <f t="shared" si="1"/>
        <v>131</v>
      </c>
      <c r="M127" s="7"/>
    </row>
    <row r="128" ht="22.5" customHeight="1">
      <c r="A128" s="4" t="s">
        <v>326</v>
      </c>
      <c r="B128" s="5">
        <v>40000.0</v>
      </c>
      <c r="C128" s="4" t="s">
        <v>11</v>
      </c>
      <c r="D128" s="6" t="s">
        <v>11</v>
      </c>
      <c r="E128" s="5">
        <v>64.0</v>
      </c>
      <c r="F128" s="4" t="s">
        <v>324</v>
      </c>
      <c r="G128" s="4" t="s">
        <v>12</v>
      </c>
      <c r="H128" s="4" t="s">
        <v>327</v>
      </c>
      <c r="I128" s="7"/>
      <c r="K128" s="4" t="s">
        <v>41</v>
      </c>
      <c r="L128" s="7">
        <f t="shared" si="1"/>
        <v>131</v>
      </c>
      <c r="M128" s="7"/>
    </row>
    <row r="129" ht="22.5" customHeight="1">
      <c r="A129" s="4" t="s">
        <v>328</v>
      </c>
      <c r="B129" s="5">
        <v>40000.0</v>
      </c>
      <c r="C129" s="4" t="s">
        <v>11</v>
      </c>
      <c r="D129" s="6" t="s">
        <v>11</v>
      </c>
      <c r="E129" s="5">
        <v>22.0</v>
      </c>
      <c r="F129" s="4" t="s">
        <v>324</v>
      </c>
      <c r="G129" s="4" t="s">
        <v>53</v>
      </c>
      <c r="H129" s="4" t="s">
        <v>329</v>
      </c>
      <c r="I129" s="7"/>
      <c r="K129" s="4" t="s">
        <v>41</v>
      </c>
      <c r="L129" s="7">
        <f t="shared" si="1"/>
        <v>131</v>
      </c>
      <c r="M129" s="7"/>
    </row>
    <row r="130" ht="22.5" customHeight="1">
      <c r="A130" s="4" t="s">
        <v>330</v>
      </c>
      <c r="B130" s="5">
        <v>42000.0</v>
      </c>
      <c r="C130" s="4" t="s">
        <v>11</v>
      </c>
      <c r="D130" s="6" t="s">
        <v>11</v>
      </c>
      <c r="E130" s="5">
        <v>105.0</v>
      </c>
      <c r="F130" s="4" t="s">
        <v>324</v>
      </c>
      <c r="G130" s="4" t="s">
        <v>150</v>
      </c>
      <c r="H130" s="4" t="s">
        <v>331</v>
      </c>
      <c r="I130" s="7"/>
      <c r="K130" s="4" t="s">
        <v>41</v>
      </c>
      <c r="L130" s="7">
        <f t="shared" si="1"/>
        <v>131</v>
      </c>
      <c r="M130" s="7"/>
    </row>
    <row r="131" ht="22.5" customHeight="1">
      <c r="A131" s="4" t="s">
        <v>332</v>
      </c>
      <c r="B131" s="5">
        <v>42500.0</v>
      </c>
      <c r="C131" s="4" t="s">
        <v>11</v>
      </c>
      <c r="D131" s="6" t="s">
        <v>11</v>
      </c>
      <c r="E131" s="5">
        <v>66.0</v>
      </c>
      <c r="F131" s="4" t="s">
        <v>324</v>
      </c>
      <c r="G131" s="4" t="s">
        <v>41</v>
      </c>
      <c r="H131" s="4" t="s">
        <v>333</v>
      </c>
      <c r="I131" s="7"/>
      <c r="K131" s="4" t="s">
        <v>41</v>
      </c>
      <c r="L131" s="7">
        <f t="shared" si="1"/>
        <v>131</v>
      </c>
      <c r="M131" s="7"/>
    </row>
    <row r="132" ht="22.5" customHeight="1">
      <c r="A132" s="4" t="s">
        <v>334</v>
      </c>
      <c r="B132" s="5">
        <v>57440.0</v>
      </c>
      <c r="C132" s="4" t="s">
        <v>11</v>
      </c>
      <c r="D132" s="6" t="s">
        <v>11</v>
      </c>
      <c r="E132" s="5">
        <v>1000.0</v>
      </c>
      <c r="F132" s="4" t="s">
        <v>324</v>
      </c>
      <c r="G132" s="4" t="s">
        <v>16</v>
      </c>
      <c r="H132" s="4" t="s">
        <v>335</v>
      </c>
      <c r="I132" s="7"/>
      <c r="K132" s="4" t="s">
        <v>41</v>
      </c>
      <c r="L132" s="7">
        <f t="shared" si="1"/>
        <v>131</v>
      </c>
      <c r="M132" s="7"/>
    </row>
    <row r="133" ht="22.5" customHeight="1">
      <c r="A133" s="4" t="s">
        <v>336</v>
      </c>
      <c r="B133" s="5">
        <v>57700.0</v>
      </c>
      <c r="C133" s="4" t="s">
        <v>11</v>
      </c>
      <c r="D133" s="6" t="s">
        <v>11</v>
      </c>
      <c r="E133" s="5">
        <v>293.0</v>
      </c>
      <c r="F133" s="4" t="s">
        <v>324</v>
      </c>
      <c r="G133" s="4" t="s">
        <v>41</v>
      </c>
      <c r="H133" s="4" t="s">
        <v>337</v>
      </c>
      <c r="I133" s="7"/>
      <c r="K133" s="4" t="s">
        <v>41</v>
      </c>
      <c r="L133" s="7">
        <f t="shared" si="1"/>
        <v>131</v>
      </c>
      <c r="M133" s="7"/>
    </row>
    <row r="134" ht="22.5" customHeight="1">
      <c r="A134" s="4" t="s">
        <v>338</v>
      </c>
      <c r="B134" s="5">
        <v>69300.0</v>
      </c>
      <c r="C134" s="4" t="s">
        <v>11</v>
      </c>
      <c r="D134" s="6" t="s">
        <v>11</v>
      </c>
      <c r="E134" s="5">
        <v>406.0</v>
      </c>
      <c r="F134" s="4" t="s">
        <v>324</v>
      </c>
      <c r="G134" s="4" t="s">
        <v>16</v>
      </c>
      <c r="H134" s="4" t="s">
        <v>339</v>
      </c>
      <c r="I134" s="7"/>
      <c r="K134" s="4" t="s">
        <v>41</v>
      </c>
      <c r="L134" s="7">
        <f t="shared" si="1"/>
        <v>131</v>
      </c>
      <c r="M134" s="7"/>
    </row>
    <row r="135" ht="22.5" customHeight="1">
      <c r="A135" s="4" t="s">
        <v>340</v>
      </c>
      <c r="B135" s="5">
        <v>76900.0</v>
      </c>
      <c r="C135" s="4" t="s">
        <v>11</v>
      </c>
      <c r="D135" s="6" t="s">
        <v>11</v>
      </c>
      <c r="E135" s="5">
        <v>71.0</v>
      </c>
      <c r="F135" s="4" t="s">
        <v>324</v>
      </c>
      <c r="G135" s="4" t="s">
        <v>131</v>
      </c>
      <c r="H135" s="4" t="s">
        <v>341</v>
      </c>
      <c r="I135" s="7"/>
      <c r="K135" s="4" t="s">
        <v>41</v>
      </c>
      <c r="L135" s="7">
        <f t="shared" si="1"/>
        <v>131</v>
      </c>
      <c r="M135" s="7"/>
    </row>
    <row r="136" ht="22.5" customHeight="1">
      <c r="A136" s="4" t="s">
        <v>342</v>
      </c>
      <c r="B136" s="5">
        <v>77000.0</v>
      </c>
      <c r="C136" s="4" t="s">
        <v>11</v>
      </c>
      <c r="D136" s="6" t="s">
        <v>11</v>
      </c>
      <c r="E136" s="5">
        <v>1000.0</v>
      </c>
      <c r="F136" s="4" t="s">
        <v>324</v>
      </c>
      <c r="G136" s="4" t="s">
        <v>66</v>
      </c>
      <c r="H136" s="4" t="s">
        <v>343</v>
      </c>
      <c r="I136" s="7"/>
      <c r="K136" s="4" t="s">
        <v>41</v>
      </c>
      <c r="L136" s="7">
        <f t="shared" si="1"/>
        <v>131</v>
      </c>
      <c r="M136" s="7"/>
    </row>
    <row r="137" ht="22.5" customHeight="1">
      <c r="A137" s="4" t="s">
        <v>344</v>
      </c>
      <c r="B137" s="5">
        <v>80200.0</v>
      </c>
      <c r="C137" s="4" t="s">
        <v>11</v>
      </c>
      <c r="D137" s="6" t="s">
        <v>11</v>
      </c>
      <c r="E137" s="5">
        <v>278.0</v>
      </c>
      <c r="F137" s="4" t="s">
        <v>324</v>
      </c>
      <c r="G137" s="4" t="s">
        <v>41</v>
      </c>
      <c r="H137" s="4" t="s">
        <v>345</v>
      </c>
      <c r="I137" s="7"/>
      <c r="K137" s="4" t="s">
        <v>41</v>
      </c>
      <c r="L137" s="7">
        <f t="shared" si="1"/>
        <v>131</v>
      </c>
      <c r="M137" s="7"/>
    </row>
    <row r="138" ht="22.5" customHeight="1">
      <c r="A138" s="4" t="s">
        <v>346</v>
      </c>
      <c r="B138" s="5">
        <v>82000.0</v>
      </c>
      <c r="C138" s="4" t="s">
        <v>11</v>
      </c>
      <c r="D138" s="6" t="s">
        <v>11</v>
      </c>
      <c r="E138" s="5">
        <v>139.0</v>
      </c>
      <c r="F138" s="4" t="s">
        <v>324</v>
      </c>
      <c r="G138" s="4" t="s">
        <v>29</v>
      </c>
      <c r="H138" s="4" t="s">
        <v>347</v>
      </c>
      <c r="I138" s="7"/>
      <c r="K138" s="4" t="s">
        <v>41</v>
      </c>
      <c r="L138" s="7">
        <f t="shared" si="1"/>
        <v>131</v>
      </c>
      <c r="M138" s="7"/>
    </row>
    <row r="139" ht="22.5" customHeight="1">
      <c r="A139" s="4" t="s">
        <v>348</v>
      </c>
      <c r="B139" s="5">
        <v>82300.0</v>
      </c>
      <c r="C139" s="4" t="s">
        <v>11</v>
      </c>
      <c r="D139" s="6" t="s">
        <v>11</v>
      </c>
      <c r="E139" s="5">
        <v>205.0</v>
      </c>
      <c r="F139" s="4" t="s">
        <v>324</v>
      </c>
      <c r="G139" s="4" t="s">
        <v>57</v>
      </c>
      <c r="H139" s="4" t="s">
        <v>349</v>
      </c>
      <c r="I139" s="7"/>
      <c r="K139" s="4" t="s">
        <v>41</v>
      </c>
      <c r="L139" s="7">
        <f t="shared" si="1"/>
        <v>131</v>
      </c>
      <c r="M139" s="7"/>
    </row>
    <row r="140" ht="22.5" customHeight="1">
      <c r="A140" s="4" t="s">
        <v>350</v>
      </c>
      <c r="B140" s="5">
        <v>83900.0</v>
      </c>
      <c r="C140" s="4" t="s">
        <v>11</v>
      </c>
      <c r="D140" s="6" t="s">
        <v>11</v>
      </c>
      <c r="E140" s="5">
        <v>8.0</v>
      </c>
      <c r="F140" s="4" t="s">
        <v>324</v>
      </c>
      <c r="G140" s="4" t="s">
        <v>115</v>
      </c>
      <c r="H140" s="4" t="s">
        <v>351</v>
      </c>
      <c r="I140" s="7"/>
      <c r="K140" s="4" t="s">
        <v>41</v>
      </c>
      <c r="L140" s="7">
        <f t="shared" si="1"/>
        <v>131</v>
      </c>
      <c r="M140" s="7"/>
    </row>
    <row r="141" ht="22.5" customHeight="1">
      <c r="A141" s="4" t="s">
        <v>352</v>
      </c>
      <c r="B141" s="5">
        <v>86100.0</v>
      </c>
      <c r="C141" s="4" t="s">
        <v>11</v>
      </c>
      <c r="D141" s="6" t="s">
        <v>11</v>
      </c>
      <c r="E141" s="5">
        <v>14.0</v>
      </c>
      <c r="F141" s="4" t="s">
        <v>324</v>
      </c>
      <c r="G141" s="4" t="s">
        <v>12</v>
      </c>
      <c r="H141" s="4" t="s">
        <v>353</v>
      </c>
      <c r="I141" s="7"/>
      <c r="K141" s="4" t="s">
        <v>41</v>
      </c>
      <c r="L141" s="7">
        <f t="shared" si="1"/>
        <v>131</v>
      </c>
      <c r="M141" s="7"/>
    </row>
    <row r="142" ht="22.5" customHeight="1">
      <c r="A142" s="4" t="s">
        <v>354</v>
      </c>
      <c r="B142" s="5">
        <v>98000.0</v>
      </c>
      <c r="C142" s="4" t="s">
        <v>11</v>
      </c>
      <c r="D142" s="6" t="s">
        <v>11</v>
      </c>
      <c r="E142" s="5">
        <v>30.0</v>
      </c>
      <c r="F142" s="4" t="s">
        <v>324</v>
      </c>
      <c r="G142" s="4" t="s">
        <v>45</v>
      </c>
      <c r="H142" s="4" t="s">
        <v>355</v>
      </c>
      <c r="I142" s="7"/>
      <c r="K142" s="4" t="s">
        <v>41</v>
      </c>
      <c r="L142" s="7">
        <f t="shared" si="1"/>
        <v>131</v>
      </c>
      <c r="M142" s="7"/>
    </row>
    <row r="143" ht="22.5" customHeight="1">
      <c r="A143" s="4" t="s">
        <v>356</v>
      </c>
      <c r="B143" s="5">
        <v>99000.0</v>
      </c>
      <c r="C143" s="4" t="s">
        <v>11</v>
      </c>
      <c r="D143" s="6" t="s">
        <v>11</v>
      </c>
      <c r="E143" s="5">
        <v>306.0</v>
      </c>
      <c r="F143" s="4" t="s">
        <v>324</v>
      </c>
      <c r="G143" s="4" t="s">
        <v>21</v>
      </c>
      <c r="H143" s="4" t="s">
        <v>357</v>
      </c>
      <c r="I143" s="7"/>
      <c r="K143" s="4" t="s">
        <v>41</v>
      </c>
      <c r="L143" s="7">
        <f t="shared" si="1"/>
        <v>131</v>
      </c>
      <c r="M143" s="7"/>
    </row>
    <row r="144" ht="22.5" customHeight="1">
      <c r="A144" s="4" t="s">
        <v>358</v>
      </c>
      <c r="B144" s="5">
        <v>100399.0</v>
      </c>
      <c r="C144" s="4" t="s">
        <v>11</v>
      </c>
      <c r="D144" s="6" t="s">
        <v>11</v>
      </c>
      <c r="E144" s="5">
        <v>88.0</v>
      </c>
      <c r="F144" s="4" t="s">
        <v>324</v>
      </c>
      <c r="G144" s="4" t="s">
        <v>35</v>
      </c>
      <c r="H144" s="4" t="s">
        <v>359</v>
      </c>
      <c r="I144" s="7"/>
      <c r="K144" s="4" t="s">
        <v>41</v>
      </c>
      <c r="L144" s="7">
        <f t="shared" si="1"/>
        <v>131</v>
      </c>
      <c r="M144" s="7"/>
    </row>
    <row r="145" ht="22.5" customHeight="1">
      <c r="A145" s="4" t="s">
        <v>360</v>
      </c>
      <c r="B145" s="5">
        <v>109000.0</v>
      </c>
      <c r="C145" s="4" t="s">
        <v>11</v>
      </c>
      <c r="D145" s="6" t="s">
        <v>11</v>
      </c>
      <c r="E145" s="5">
        <v>4000.0</v>
      </c>
      <c r="F145" s="4" t="s">
        <v>324</v>
      </c>
      <c r="G145" s="4" t="s">
        <v>41</v>
      </c>
      <c r="H145" s="4" t="s">
        <v>361</v>
      </c>
      <c r="I145" s="7"/>
      <c r="K145" s="4" t="s">
        <v>41</v>
      </c>
      <c r="L145" s="7">
        <f t="shared" si="1"/>
        <v>131</v>
      </c>
      <c r="M145" s="7"/>
    </row>
    <row r="146" ht="22.5" customHeight="1">
      <c r="A146" s="4" t="s">
        <v>362</v>
      </c>
      <c r="B146" s="5">
        <v>115900.0</v>
      </c>
      <c r="C146" s="4" t="s">
        <v>11</v>
      </c>
      <c r="D146" s="6" t="s">
        <v>11</v>
      </c>
      <c r="E146" s="5">
        <v>43.0</v>
      </c>
      <c r="F146" s="4" t="s">
        <v>324</v>
      </c>
      <c r="G146" s="4" t="s">
        <v>41</v>
      </c>
      <c r="H146" s="4" t="s">
        <v>363</v>
      </c>
      <c r="I146" s="7"/>
      <c r="K146" s="4" t="s">
        <v>41</v>
      </c>
      <c r="L146" s="7">
        <f t="shared" si="1"/>
        <v>131</v>
      </c>
      <c r="M146" s="7"/>
    </row>
    <row r="147" ht="22.5" customHeight="1">
      <c r="A147" s="4" t="s">
        <v>364</v>
      </c>
      <c r="B147" s="5">
        <v>116235.0</v>
      </c>
      <c r="C147" s="4" t="s">
        <v>11</v>
      </c>
      <c r="D147" s="6" t="s">
        <v>11</v>
      </c>
      <c r="E147" s="5">
        <v>1000.0</v>
      </c>
      <c r="F147" s="4" t="s">
        <v>324</v>
      </c>
      <c r="G147" s="4" t="s">
        <v>41</v>
      </c>
      <c r="H147" s="4" t="s">
        <v>241</v>
      </c>
      <c r="I147" s="7"/>
      <c r="K147" s="4" t="s">
        <v>41</v>
      </c>
      <c r="L147" s="7">
        <f t="shared" si="1"/>
        <v>131</v>
      </c>
      <c r="M147" s="7"/>
    </row>
    <row r="148" ht="22.5" customHeight="1">
      <c r="A148" s="4" t="s">
        <v>365</v>
      </c>
      <c r="B148" s="5">
        <v>119000.0</v>
      </c>
      <c r="C148" s="4" t="s">
        <v>11</v>
      </c>
      <c r="D148" s="6" t="s">
        <v>11</v>
      </c>
      <c r="E148" s="5">
        <v>10.0</v>
      </c>
      <c r="F148" s="4" t="s">
        <v>324</v>
      </c>
      <c r="G148" s="4" t="s">
        <v>99</v>
      </c>
      <c r="H148" s="4" t="s">
        <v>366</v>
      </c>
      <c r="I148" s="7"/>
      <c r="K148" s="4" t="s">
        <v>41</v>
      </c>
      <c r="L148" s="7">
        <f t="shared" si="1"/>
        <v>131</v>
      </c>
      <c r="M148" s="7"/>
    </row>
    <row r="149" ht="22.5" customHeight="1">
      <c r="A149" s="4" t="s">
        <v>367</v>
      </c>
      <c r="B149" s="5">
        <v>119500.0</v>
      </c>
      <c r="C149" s="4" t="s">
        <v>11</v>
      </c>
      <c r="D149" s="6" t="s">
        <v>11</v>
      </c>
      <c r="E149" s="5">
        <v>86.0</v>
      </c>
      <c r="F149" s="4" t="s">
        <v>324</v>
      </c>
      <c r="G149" s="4" t="s">
        <v>16</v>
      </c>
      <c r="H149" s="4" t="s">
        <v>368</v>
      </c>
      <c r="I149" s="7"/>
      <c r="K149" s="4" t="s">
        <v>41</v>
      </c>
      <c r="L149" s="7">
        <f t="shared" si="1"/>
        <v>131</v>
      </c>
      <c r="M149" s="7"/>
    </row>
    <row r="150" ht="22.5" customHeight="1">
      <c r="A150" s="4" t="s">
        <v>369</v>
      </c>
      <c r="B150" s="5">
        <v>119800.0</v>
      </c>
      <c r="C150" s="4" t="s">
        <v>11</v>
      </c>
      <c r="D150" s="6" t="s">
        <v>11</v>
      </c>
      <c r="E150" s="5">
        <v>17.0</v>
      </c>
      <c r="F150" s="4" t="s">
        <v>324</v>
      </c>
      <c r="G150" s="4" t="s">
        <v>18</v>
      </c>
      <c r="H150" s="4" t="s">
        <v>370</v>
      </c>
      <c r="I150" s="7"/>
      <c r="K150" s="4" t="s">
        <v>41</v>
      </c>
      <c r="L150" s="7">
        <f t="shared" si="1"/>
        <v>131</v>
      </c>
      <c r="M150" s="7"/>
    </row>
    <row r="151" ht="22.5" customHeight="1">
      <c r="A151" s="4" t="s">
        <v>371</v>
      </c>
      <c r="B151" s="5">
        <v>120330.0</v>
      </c>
      <c r="C151" s="4" t="s">
        <v>11</v>
      </c>
      <c r="D151" s="6" t="s">
        <v>11</v>
      </c>
      <c r="E151" s="5">
        <v>9.0</v>
      </c>
      <c r="F151" s="4" t="s">
        <v>324</v>
      </c>
      <c r="G151" s="4" t="s">
        <v>45</v>
      </c>
      <c r="H151" s="4" t="s">
        <v>372</v>
      </c>
      <c r="I151" s="7"/>
      <c r="K151" s="4" t="s">
        <v>41</v>
      </c>
      <c r="L151" s="7">
        <f t="shared" si="1"/>
        <v>131</v>
      </c>
      <c r="M151" s="7"/>
    </row>
    <row r="152" ht="22.5" customHeight="1">
      <c r="A152" s="4" t="s">
        <v>373</v>
      </c>
      <c r="B152" s="5">
        <v>126000.0</v>
      </c>
      <c r="C152" s="4" t="s">
        <v>11</v>
      </c>
      <c r="D152" s="6" t="s">
        <v>11</v>
      </c>
      <c r="E152" s="5">
        <v>14.0</v>
      </c>
      <c r="F152" s="4" t="s">
        <v>324</v>
      </c>
      <c r="G152" s="4" t="s">
        <v>35</v>
      </c>
      <c r="H152" s="4" t="s">
        <v>374</v>
      </c>
      <c r="I152" s="7"/>
      <c r="K152" s="4" t="s">
        <v>41</v>
      </c>
      <c r="L152" s="7">
        <f t="shared" si="1"/>
        <v>131</v>
      </c>
      <c r="M152" s="7"/>
    </row>
    <row r="153" ht="22.5" customHeight="1">
      <c r="A153" s="4" t="s">
        <v>375</v>
      </c>
      <c r="B153" s="5">
        <v>127258.0</v>
      </c>
      <c r="C153" s="4" t="s">
        <v>11</v>
      </c>
      <c r="D153" s="6" t="s">
        <v>11</v>
      </c>
      <c r="E153" s="5">
        <v>78.0</v>
      </c>
      <c r="F153" s="4" t="s">
        <v>324</v>
      </c>
      <c r="G153" s="4" t="s">
        <v>16</v>
      </c>
      <c r="H153" s="4" t="s">
        <v>376</v>
      </c>
      <c r="I153" s="7"/>
      <c r="K153" s="4" t="s">
        <v>41</v>
      </c>
      <c r="L153" s="7">
        <f t="shared" si="1"/>
        <v>131</v>
      </c>
      <c r="M153" s="7"/>
    </row>
    <row r="154" ht="22.5" customHeight="1">
      <c r="A154" s="4" t="s">
        <v>377</v>
      </c>
      <c r="B154" s="5">
        <v>129000.0</v>
      </c>
      <c r="C154" s="4" t="s">
        <v>11</v>
      </c>
      <c r="D154" s="6" t="s">
        <v>11</v>
      </c>
      <c r="E154" s="5">
        <v>537.0</v>
      </c>
      <c r="F154" s="4" t="s">
        <v>324</v>
      </c>
      <c r="G154" s="4" t="s">
        <v>66</v>
      </c>
      <c r="H154" s="4" t="s">
        <v>378</v>
      </c>
      <c r="I154" s="7"/>
      <c r="K154" s="4" t="s">
        <v>41</v>
      </c>
      <c r="L154" s="7">
        <f t="shared" si="1"/>
        <v>131</v>
      </c>
      <c r="M154" s="7"/>
    </row>
    <row r="155" ht="22.5" customHeight="1">
      <c r="A155" s="4" t="s">
        <v>379</v>
      </c>
      <c r="B155" s="5">
        <v>129658.0</v>
      </c>
      <c r="C155" s="4" t="s">
        <v>11</v>
      </c>
      <c r="D155" s="6" t="s">
        <v>11</v>
      </c>
      <c r="E155" s="5">
        <v>68.0</v>
      </c>
      <c r="F155" s="4" t="s">
        <v>324</v>
      </c>
      <c r="G155" s="4" t="s">
        <v>41</v>
      </c>
      <c r="H155" s="4" t="s">
        <v>380</v>
      </c>
      <c r="I155" s="7"/>
      <c r="K155" s="4" t="s">
        <v>41</v>
      </c>
      <c r="L155" s="7">
        <f t="shared" si="1"/>
        <v>131</v>
      </c>
      <c r="M155" s="7"/>
    </row>
    <row r="156" ht="22.5" customHeight="1">
      <c r="A156" s="4" t="s">
        <v>381</v>
      </c>
      <c r="B156" s="5">
        <v>130558.0</v>
      </c>
      <c r="C156" s="4" t="s">
        <v>11</v>
      </c>
      <c r="D156" s="6" t="s">
        <v>11</v>
      </c>
      <c r="E156" s="5">
        <v>14.0</v>
      </c>
      <c r="F156" s="4" t="s">
        <v>324</v>
      </c>
      <c r="G156" s="4" t="s">
        <v>73</v>
      </c>
      <c r="H156" s="4" t="s">
        <v>382</v>
      </c>
      <c r="I156" s="7"/>
      <c r="K156" s="4" t="s">
        <v>41</v>
      </c>
      <c r="L156" s="7">
        <f t="shared" si="1"/>
        <v>131</v>
      </c>
      <c r="M156" s="7"/>
    </row>
    <row r="157" ht="22.5" customHeight="1">
      <c r="A157" s="4" t="s">
        <v>383</v>
      </c>
      <c r="B157" s="5">
        <v>133859.0</v>
      </c>
      <c r="C157" s="4" t="s">
        <v>11</v>
      </c>
      <c r="D157" s="6" t="s">
        <v>11</v>
      </c>
      <c r="E157" s="5">
        <v>74.0</v>
      </c>
      <c r="F157" s="4" t="s">
        <v>324</v>
      </c>
      <c r="G157" s="4" t="s">
        <v>115</v>
      </c>
      <c r="H157" s="4" t="s">
        <v>136</v>
      </c>
      <c r="I157" s="7"/>
      <c r="K157" s="4" t="s">
        <v>41</v>
      </c>
      <c r="L157" s="7">
        <f t="shared" si="1"/>
        <v>131</v>
      </c>
      <c r="M157" s="7"/>
    </row>
    <row r="158" ht="22.5" customHeight="1">
      <c r="A158" s="4" t="s">
        <v>384</v>
      </c>
      <c r="B158" s="5">
        <v>138040.0</v>
      </c>
      <c r="C158" s="4" t="s">
        <v>11</v>
      </c>
      <c r="D158" s="6" t="s">
        <v>11</v>
      </c>
      <c r="E158" s="5">
        <v>98.0</v>
      </c>
      <c r="F158" s="4" t="s">
        <v>324</v>
      </c>
      <c r="G158" s="4" t="s">
        <v>41</v>
      </c>
      <c r="H158" s="4" t="s">
        <v>385</v>
      </c>
      <c r="I158" s="7"/>
      <c r="K158" s="4" t="s">
        <v>41</v>
      </c>
      <c r="L158" s="7">
        <f t="shared" si="1"/>
        <v>131</v>
      </c>
      <c r="M158" s="7"/>
    </row>
    <row r="159" ht="22.5" customHeight="1">
      <c r="A159" s="4" t="s">
        <v>386</v>
      </c>
      <c r="B159" s="5">
        <v>159000.0</v>
      </c>
      <c r="C159" s="4" t="s">
        <v>11</v>
      </c>
      <c r="D159" s="6" t="s">
        <v>11</v>
      </c>
      <c r="E159" s="5">
        <v>134.0</v>
      </c>
      <c r="F159" s="4" t="s">
        <v>324</v>
      </c>
      <c r="G159" s="4" t="s">
        <v>150</v>
      </c>
      <c r="H159" s="4" t="s">
        <v>387</v>
      </c>
      <c r="I159" s="7"/>
      <c r="K159" s="4" t="s">
        <v>41</v>
      </c>
      <c r="L159" s="7">
        <f t="shared" si="1"/>
        <v>131</v>
      </c>
      <c r="M159" s="7"/>
    </row>
    <row r="160" ht="22.5" customHeight="1">
      <c r="A160" s="4" t="s">
        <v>388</v>
      </c>
      <c r="B160" s="5">
        <v>159000.0</v>
      </c>
      <c r="C160" s="4" t="s">
        <v>11</v>
      </c>
      <c r="D160" s="6" t="s">
        <v>11</v>
      </c>
      <c r="E160" s="5">
        <v>76.0</v>
      </c>
      <c r="F160" s="4" t="s">
        <v>324</v>
      </c>
      <c r="G160" s="4" t="s">
        <v>27</v>
      </c>
      <c r="H160" s="4" t="s">
        <v>389</v>
      </c>
      <c r="I160" s="7"/>
      <c r="K160" s="4" t="s">
        <v>41</v>
      </c>
      <c r="L160" s="7">
        <f t="shared" si="1"/>
        <v>131</v>
      </c>
      <c r="M160" s="7"/>
    </row>
    <row r="161" ht="22.5" customHeight="1">
      <c r="A161" s="4" t="s">
        <v>390</v>
      </c>
      <c r="B161" s="5">
        <v>162000.0</v>
      </c>
      <c r="C161" s="4" t="s">
        <v>11</v>
      </c>
      <c r="D161" s="6" t="s">
        <v>11</v>
      </c>
      <c r="E161" s="5">
        <v>329.0</v>
      </c>
      <c r="F161" s="4" t="s">
        <v>324</v>
      </c>
      <c r="G161" s="4" t="s">
        <v>33</v>
      </c>
      <c r="H161" s="4" t="s">
        <v>391</v>
      </c>
      <c r="I161" s="7"/>
      <c r="K161" s="4" t="s">
        <v>41</v>
      </c>
      <c r="L161" s="7">
        <f t="shared" si="1"/>
        <v>131</v>
      </c>
      <c r="M161" s="7"/>
    </row>
    <row r="162" ht="22.5" customHeight="1">
      <c r="A162" s="4" t="s">
        <v>392</v>
      </c>
      <c r="B162" s="5">
        <v>168000.0</v>
      </c>
      <c r="C162" s="4" t="s">
        <v>11</v>
      </c>
      <c r="D162" s="6" t="s">
        <v>11</v>
      </c>
      <c r="E162" s="5">
        <v>40.0</v>
      </c>
      <c r="F162" s="4" t="s">
        <v>324</v>
      </c>
      <c r="G162" s="4" t="s">
        <v>14</v>
      </c>
      <c r="H162" s="4" t="s">
        <v>393</v>
      </c>
      <c r="I162" s="7"/>
      <c r="K162" s="4" t="s">
        <v>41</v>
      </c>
      <c r="L162" s="7">
        <f t="shared" si="1"/>
        <v>131</v>
      </c>
      <c r="M162" s="7"/>
    </row>
    <row r="163" ht="22.5" customHeight="1">
      <c r="A163" s="4" t="s">
        <v>394</v>
      </c>
      <c r="B163" s="5">
        <v>173280.0</v>
      </c>
      <c r="C163" s="4" t="s">
        <v>11</v>
      </c>
      <c r="D163" s="6" t="s">
        <v>11</v>
      </c>
      <c r="E163" s="5">
        <v>43.0</v>
      </c>
      <c r="F163" s="4" t="s">
        <v>324</v>
      </c>
      <c r="G163" s="4" t="s">
        <v>57</v>
      </c>
      <c r="H163" s="4" t="s">
        <v>395</v>
      </c>
      <c r="I163" s="7"/>
      <c r="K163" s="4" t="s">
        <v>41</v>
      </c>
      <c r="L163" s="7">
        <f t="shared" si="1"/>
        <v>131</v>
      </c>
      <c r="M163" s="7"/>
    </row>
    <row r="164" ht="22.5" customHeight="1">
      <c r="A164" s="4" t="s">
        <v>396</v>
      </c>
      <c r="B164" s="5">
        <v>185500.0</v>
      </c>
      <c r="C164" s="4" t="s">
        <v>11</v>
      </c>
      <c r="D164" s="6" t="s">
        <v>11</v>
      </c>
      <c r="E164" s="5">
        <v>113.0</v>
      </c>
      <c r="F164" s="4" t="s">
        <v>324</v>
      </c>
      <c r="G164" s="4" t="s">
        <v>27</v>
      </c>
      <c r="H164" s="4" t="s">
        <v>397</v>
      </c>
      <c r="I164" s="7"/>
      <c r="K164" s="4" t="s">
        <v>41</v>
      </c>
      <c r="L164" s="7">
        <f t="shared" si="1"/>
        <v>131</v>
      </c>
      <c r="M164" s="7"/>
    </row>
    <row r="165" ht="22.5" customHeight="1">
      <c r="A165" s="4" t="s">
        <v>398</v>
      </c>
      <c r="B165" s="5">
        <v>190550.0</v>
      </c>
      <c r="C165" s="4" t="s">
        <v>11</v>
      </c>
      <c r="D165" s="6" t="s">
        <v>11</v>
      </c>
      <c r="E165" s="5">
        <v>8.0</v>
      </c>
      <c r="F165" s="4" t="s">
        <v>324</v>
      </c>
      <c r="G165" s="4" t="s">
        <v>147</v>
      </c>
      <c r="H165" s="4" t="s">
        <v>399</v>
      </c>
      <c r="I165" s="7"/>
      <c r="K165" s="4" t="s">
        <v>41</v>
      </c>
      <c r="L165" s="7">
        <f t="shared" si="1"/>
        <v>131</v>
      </c>
      <c r="M165" s="7"/>
    </row>
    <row r="166" ht="22.5" customHeight="1">
      <c r="A166" s="4" t="s">
        <v>400</v>
      </c>
      <c r="B166" s="5">
        <v>194000.0</v>
      </c>
      <c r="C166" s="4" t="s">
        <v>11</v>
      </c>
      <c r="D166" s="6" t="s">
        <v>11</v>
      </c>
      <c r="E166" s="5">
        <v>6.0</v>
      </c>
      <c r="F166" s="4" t="s">
        <v>324</v>
      </c>
      <c r="G166" s="4" t="s">
        <v>41</v>
      </c>
      <c r="H166" s="4" t="s">
        <v>401</v>
      </c>
      <c r="I166" s="7"/>
      <c r="K166" s="4" t="s">
        <v>41</v>
      </c>
      <c r="L166" s="7">
        <f t="shared" si="1"/>
        <v>131</v>
      </c>
      <c r="M166" s="7"/>
    </row>
    <row r="167" ht="22.5" customHeight="1">
      <c r="A167" s="4" t="s">
        <v>402</v>
      </c>
      <c r="B167" s="5">
        <v>220000.0</v>
      </c>
      <c r="C167" s="4" t="s">
        <v>11</v>
      </c>
      <c r="D167" s="6" t="s">
        <v>11</v>
      </c>
      <c r="E167" s="5">
        <v>79.0</v>
      </c>
      <c r="F167" s="4" t="s">
        <v>324</v>
      </c>
      <c r="G167" s="4" t="s">
        <v>12</v>
      </c>
      <c r="H167" s="4" t="s">
        <v>403</v>
      </c>
      <c r="I167" s="7"/>
      <c r="K167" s="4" t="s">
        <v>41</v>
      </c>
      <c r="L167" s="7">
        <f t="shared" si="1"/>
        <v>131</v>
      </c>
      <c r="M167" s="7"/>
    </row>
    <row r="168" ht="22.5" customHeight="1">
      <c r="A168" s="4" t="s">
        <v>404</v>
      </c>
      <c r="B168" s="5">
        <v>229999.0</v>
      </c>
      <c r="C168" s="4" t="s">
        <v>11</v>
      </c>
      <c r="D168" s="6" t="s">
        <v>11</v>
      </c>
      <c r="E168" s="5">
        <v>6.0</v>
      </c>
      <c r="F168" s="4" t="s">
        <v>324</v>
      </c>
      <c r="G168" s="4" t="s">
        <v>21</v>
      </c>
      <c r="H168" s="4" t="s">
        <v>405</v>
      </c>
      <c r="I168" s="7"/>
      <c r="K168" s="4" t="s">
        <v>41</v>
      </c>
      <c r="L168" s="7">
        <f t="shared" si="1"/>
        <v>131</v>
      </c>
      <c r="M168" s="7"/>
    </row>
    <row r="169" ht="22.5" customHeight="1">
      <c r="A169" s="4" t="s">
        <v>406</v>
      </c>
      <c r="B169" s="5">
        <v>235000.0</v>
      </c>
      <c r="C169" s="4" t="s">
        <v>11</v>
      </c>
      <c r="D169" s="6" t="s">
        <v>11</v>
      </c>
      <c r="E169" s="5">
        <v>428.0</v>
      </c>
      <c r="F169" s="4" t="s">
        <v>324</v>
      </c>
      <c r="G169" s="4" t="s">
        <v>41</v>
      </c>
      <c r="H169" s="4" t="s">
        <v>407</v>
      </c>
      <c r="I169" s="7"/>
      <c r="K169" s="4" t="s">
        <v>41</v>
      </c>
      <c r="L169" s="7">
        <f t="shared" si="1"/>
        <v>131</v>
      </c>
      <c r="M169" s="7"/>
    </row>
    <row r="170" ht="22.5" customHeight="1">
      <c r="A170" s="4" t="s">
        <v>408</v>
      </c>
      <c r="B170" s="5">
        <v>235200.0</v>
      </c>
      <c r="C170" s="4" t="s">
        <v>11</v>
      </c>
      <c r="D170" s="6" t="s">
        <v>11</v>
      </c>
      <c r="E170" s="5">
        <v>59.0</v>
      </c>
      <c r="F170" s="4" t="s">
        <v>324</v>
      </c>
      <c r="G170" s="4" t="s">
        <v>21</v>
      </c>
      <c r="H170" s="4" t="s">
        <v>409</v>
      </c>
      <c r="I170" s="7"/>
      <c r="K170" s="4" t="s">
        <v>41</v>
      </c>
      <c r="L170" s="7">
        <f t="shared" si="1"/>
        <v>131</v>
      </c>
      <c r="M170" s="7"/>
    </row>
    <row r="171" ht="22.5" customHeight="1">
      <c r="A171" s="4" t="s">
        <v>410</v>
      </c>
      <c r="B171" s="5">
        <v>255000.0</v>
      </c>
      <c r="C171" s="4" t="s">
        <v>11</v>
      </c>
      <c r="D171" s="6" t="s">
        <v>11</v>
      </c>
      <c r="E171" s="5">
        <v>48.0</v>
      </c>
      <c r="F171" s="4" t="s">
        <v>324</v>
      </c>
      <c r="G171" s="4" t="s">
        <v>115</v>
      </c>
      <c r="H171" s="4" t="s">
        <v>411</v>
      </c>
      <c r="I171" s="7"/>
      <c r="K171" s="4" t="s">
        <v>41</v>
      </c>
      <c r="L171" s="7">
        <f t="shared" si="1"/>
        <v>131</v>
      </c>
      <c r="M171" s="7"/>
    </row>
    <row r="172" ht="22.5" customHeight="1">
      <c r="A172" s="4" t="s">
        <v>412</v>
      </c>
      <c r="B172" s="5">
        <v>280000.0</v>
      </c>
      <c r="C172" s="4" t="s">
        <v>11</v>
      </c>
      <c r="D172" s="6" t="s">
        <v>11</v>
      </c>
      <c r="E172" s="5">
        <v>9.0</v>
      </c>
      <c r="F172" s="4" t="s">
        <v>324</v>
      </c>
      <c r="G172" s="4" t="s">
        <v>66</v>
      </c>
      <c r="H172" s="4" t="s">
        <v>413</v>
      </c>
      <c r="I172" s="7"/>
      <c r="K172" s="4" t="s">
        <v>41</v>
      </c>
      <c r="L172" s="7">
        <f t="shared" si="1"/>
        <v>131</v>
      </c>
      <c r="M172" s="7"/>
    </row>
    <row r="173" ht="22.5" customHeight="1">
      <c r="A173" s="4" t="s">
        <v>414</v>
      </c>
      <c r="B173" s="5">
        <v>280000.0</v>
      </c>
      <c r="C173" s="4" t="s">
        <v>11</v>
      </c>
      <c r="D173" s="6" t="s">
        <v>11</v>
      </c>
      <c r="E173" s="5">
        <v>2000.0</v>
      </c>
      <c r="F173" s="4" t="s">
        <v>324</v>
      </c>
      <c r="G173" s="4" t="s">
        <v>41</v>
      </c>
      <c r="H173" s="4" t="s">
        <v>415</v>
      </c>
      <c r="I173" s="7"/>
      <c r="K173" s="4" t="s">
        <v>41</v>
      </c>
      <c r="L173" s="7">
        <f t="shared" si="1"/>
        <v>131</v>
      </c>
      <c r="M173" s="7"/>
    </row>
    <row r="174" ht="22.5" customHeight="1">
      <c r="A174" s="4" t="s">
        <v>416</v>
      </c>
      <c r="B174" s="5">
        <v>284000.0</v>
      </c>
      <c r="C174" s="4" t="s">
        <v>11</v>
      </c>
      <c r="D174" s="6" t="s">
        <v>11</v>
      </c>
      <c r="E174" s="5">
        <v>5.0</v>
      </c>
      <c r="F174" s="4" t="s">
        <v>324</v>
      </c>
      <c r="G174" s="4" t="s">
        <v>83</v>
      </c>
      <c r="H174" s="4" t="s">
        <v>417</v>
      </c>
      <c r="I174" s="7"/>
      <c r="K174" s="4" t="s">
        <v>41</v>
      </c>
      <c r="L174" s="7">
        <f t="shared" si="1"/>
        <v>131</v>
      </c>
      <c r="M174" s="7"/>
    </row>
    <row r="175" ht="22.5" customHeight="1">
      <c r="A175" s="4" t="s">
        <v>418</v>
      </c>
      <c r="B175" s="5">
        <v>319900.0</v>
      </c>
      <c r="C175" s="4" t="s">
        <v>11</v>
      </c>
      <c r="D175" s="6" t="s">
        <v>11</v>
      </c>
      <c r="E175" s="5">
        <v>14.0</v>
      </c>
      <c r="F175" s="4" t="s">
        <v>324</v>
      </c>
      <c r="G175" s="4" t="s">
        <v>35</v>
      </c>
      <c r="H175" s="4" t="s">
        <v>419</v>
      </c>
      <c r="I175" s="7"/>
      <c r="K175" s="4" t="s">
        <v>41</v>
      </c>
      <c r="L175" s="7">
        <f t="shared" si="1"/>
        <v>131</v>
      </c>
      <c r="M175" s="7"/>
    </row>
    <row r="176" ht="22.5" customHeight="1">
      <c r="A176" s="4" t="s">
        <v>420</v>
      </c>
      <c r="B176" s="5">
        <v>321000.0</v>
      </c>
      <c r="C176" s="4" t="s">
        <v>11</v>
      </c>
      <c r="D176" s="6" t="s">
        <v>11</v>
      </c>
      <c r="E176" s="5">
        <v>291.0</v>
      </c>
      <c r="F176" s="4" t="s">
        <v>324</v>
      </c>
      <c r="G176" s="4" t="s">
        <v>66</v>
      </c>
      <c r="H176" s="4" t="s">
        <v>421</v>
      </c>
      <c r="I176" s="7"/>
      <c r="K176" s="4" t="s">
        <v>41</v>
      </c>
      <c r="L176" s="7">
        <f t="shared" si="1"/>
        <v>131</v>
      </c>
      <c r="M176" s="7"/>
    </row>
    <row r="177" ht="22.5" customHeight="1">
      <c r="A177" s="4" t="s">
        <v>422</v>
      </c>
      <c r="B177" s="5">
        <v>326000.0</v>
      </c>
      <c r="C177" s="4" t="s">
        <v>11</v>
      </c>
      <c r="D177" s="6" t="s">
        <v>11</v>
      </c>
      <c r="E177" s="5">
        <v>63.0</v>
      </c>
      <c r="F177" s="4" t="s">
        <v>324</v>
      </c>
      <c r="G177" s="4" t="s">
        <v>14</v>
      </c>
      <c r="H177" s="4" t="s">
        <v>423</v>
      </c>
      <c r="I177" s="7"/>
      <c r="K177" s="4" t="s">
        <v>41</v>
      </c>
      <c r="L177" s="7">
        <f t="shared" si="1"/>
        <v>131</v>
      </c>
      <c r="M177" s="7"/>
    </row>
    <row r="178" ht="22.5" customHeight="1">
      <c r="A178" s="4" t="s">
        <v>424</v>
      </c>
      <c r="B178" s="5">
        <v>360800.0</v>
      </c>
      <c r="C178" s="4" t="s">
        <v>11</v>
      </c>
      <c r="D178" s="6" t="s">
        <v>11</v>
      </c>
      <c r="E178" s="5">
        <v>329.0</v>
      </c>
      <c r="F178" s="4" t="s">
        <v>324</v>
      </c>
      <c r="G178" s="4" t="s">
        <v>16</v>
      </c>
      <c r="H178" s="4" t="s">
        <v>425</v>
      </c>
      <c r="I178" s="7"/>
      <c r="K178" s="4" t="s">
        <v>41</v>
      </c>
      <c r="L178" s="7">
        <f t="shared" si="1"/>
        <v>131</v>
      </c>
      <c r="M178" s="7"/>
    </row>
    <row r="179" ht="22.5" customHeight="1">
      <c r="A179" s="4" t="s">
        <v>426</v>
      </c>
      <c r="B179" s="5">
        <v>370000.0</v>
      </c>
      <c r="C179" s="4" t="s">
        <v>11</v>
      </c>
      <c r="D179" s="6" t="s">
        <v>11</v>
      </c>
      <c r="E179" s="5">
        <v>375.0</v>
      </c>
      <c r="F179" s="4" t="s">
        <v>324</v>
      </c>
      <c r="G179" s="4" t="s">
        <v>16</v>
      </c>
      <c r="H179" s="4" t="s">
        <v>427</v>
      </c>
      <c r="I179" s="7"/>
      <c r="K179" s="4" t="s">
        <v>41</v>
      </c>
      <c r="L179" s="7">
        <f t="shared" si="1"/>
        <v>131</v>
      </c>
      <c r="M179" s="7"/>
    </row>
    <row r="180" ht="22.5" customHeight="1">
      <c r="A180" s="4" t="s">
        <v>428</v>
      </c>
      <c r="B180" s="5">
        <v>382000.0</v>
      </c>
      <c r="C180" s="4" t="s">
        <v>11</v>
      </c>
      <c r="D180" s="6" t="s">
        <v>11</v>
      </c>
      <c r="E180" s="5">
        <v>17.0</v>
      </c>
      <c r="F180" s="4" t="s">
        <v>324</v>
      </c>
      <c r="G180" s="4" t="s">
        <v>41</v>
      </c>
      <c r="H180" s="4" t="s">
        <v>429</v>
      </c>
      <c r="I180" s="7"/>
      <c r="K180" s="4" t="s">
        <v>41</v>
      </c>
      <c r="L180" s="7">
        <f t="shared" si="1"/>
        <v>131</v>
      </c>
      <c r="M180" s="7"/>
    </row>
    <row r="181" ht="22.5" customHeight="1">
      <c r="A181" s="4" t="s">
        <v>430</v>
      </c>
      <c r="B181" s="5">
        <v>389500.0</v>
      </c>
      <c r="C181" s="4" t="s">
        <v>11</v>
      </c>
      <c r="D181" s="6" t="s">
        <v>11</v>
      </c>
      <c r="E181" s="5">
        <v>92.0</v>
      </c>
      <c r="F181" s="4" t="s">
        <v>324</v>
      </c>
      <c r="G181" s="4" t="s">
        <v>57</v>
      </c>
      <c r="H181" s="4" t="s">
        <v>431</v>
      </c>
      <c r="I181" s="7"/>
      <c r="K181" s="4" t="s">
        <v>41</v>
      </c>
      <c r="L181" s="7">
        <f t="shared" si="1"/>
        <v>131</v>
      </c>
      <c r="M181" s="7"/>
    </row>
    <row r="182" ht="22.5" customHeight="1">
      <c r="A182" s="4" t="s">
        <v>432</v>
      </c>
      <c r="B182" s="5">
        <v>399700.0</v>
      </c>
      <c r="C182" s="4" t="s">
        <v>11</v>
      </c>
      <c r="D182" s="6" t="s">
        <v>11</v>
      </c>
      <c r="E182" s="5">
        <v>15.0</v>
      </c>
      <c r="F182" s="4" t="s">
        <v>324</v>
      </c>
      <c r="G182" s="4" t="s">
        <v>66</v>
      </c>
      <c r="H182" s="4" t="s">
        <v>433</v>
      </c>
      <c r="I182" s="7"/>
      <c r="K182" s="4" t="s">
        <v>41</v>
      </c>
      <c r="L182" s="7">
        <f t="shared" si="1"/>
        <v>131</v>
      </c>
      <c r="M182" s="7"/>
    </row>
    <row r="183" ht="22.5" customHeight="1">
      <c r="A183" s="4" t="s">
        <v>434</v>
      </c>
      <c r="B183" s="5">
        <v>550000.0</v>
      </c>
      <c r="C183" s="4" t="s">
        <v>11</v>
      </c>
      <c r="D183" s="6" t="s">
        <v>11</v>
      </c>
      <c r="E183" s="5">
        <v>205.0</v>
      </c>
      <c r="F183" s="4" t="s">
        <v>324</v>
      </c>
      <c r="G183" s="4" t="s">
        <v>83</v>
      </c>
      <c r="H183" s="4" t="s">
        <v>435</v>
      </c>
      <c r="I183" s="7"/>
      <c r="K183" s="4" t="s">
        <v>41</v>
      </c>
      <c r="L183" s="7">
        <f t="shared" si="1"/>
        <v>131</v>
      </c>
      <c r="M183" s="7"/>
    </row>
    <row r="184" ht="22.5" customHeight="1">
      <c r="A184" s="4" t="s">
        <v>436</v>
      </c>
      <c r="B184" s="5">
        <v>798000.0</v>
      </c>
      <c r="C184" s="4" t="s">
        <v>11</v>
      </c>
      <c r="D184" s="6" t="s">
        <v>11</v>
      </c>
      <c r="E184" s="5">
        <v>137.0</v>
      </c>
      <c r="F184" s="4" t="s">
        <v>324</v>
      </c>
      <c r="G184" s="4" t="s">
        <v>35</v>
      </c>
      <c r="H184" s="4" t="s">
        <v>437</v>
      </c>
      <c r="I184" s="7"/>
      <c r="K184" s="4" t="s">
        <v>41</v>
      </c>
      <c r="L184" s="7">
        <f t="shared" si="1"/>
        <v>131</v>
      </c>
      <c r="M184" s="7"/>
    </row>
    <row r="185" ht="22.5" customHeight="1">
      <c r="A185" s="4" t="s">
        <v>438</v>
      </c>
      <c r="B185" s="5">
        <v>35000.0</v>
      </c>
      <c r="C185" s="4" t="s">
        <v>11</v>
      </c>
      <c r="D185" s="6" t="s">
        <v>11</v>
      </c>
      <c r="E185" s="6" t="s">
        <v>11</v>
      </c>
      <c r="F185" s="4" t="s">
        <v>439</v>
      </c>
      <c r="G185" s="4" t="s">
        <v>115</v>
      </c>
      <c r="H185" s="4" t="s">
        <v>440</v>
      </c>
      <c r="I185" s="7"/>
      <c r="K185" s="4" t="s">
        <v>41</v>
      </c>
      <c r="L185" s="7">
        <f t="shared" si="1"/>
        <v>131</v>
      </c>
      <c r="M185" s="7"/>
    </row>
    <row r="186" ht="22.5" customHeight="1">
      <c r="A186" s="4" t="s">
        <v>441</v>
      </c>
      <c r="B186" s="5">
        <v>43000.0</v>
      </c>
      <c r="C186" s="4" t="s">
        <v>11</v>
      </c>
      <c r="D186" s="6" t="s">
        <v>11</v>
      </c>
      <c r="E186" s="6" t="s">
        <v>11</v>
      </c>
      <c r="F186" s="4" t="s">
        <v>439</v>
      </c>
      <c r="G186" s="4" t="s">
        <v>41</v>
      </c>
      <c r="H186" s="4" t="s">
        <v>442</v>
      </c>
      <c r="I186" s="7"/>
      <c r="K186" s="4" t="s">
        <v>41</v>
      </c>
      <c r="L186" s="7">
        <f t="shared" si="1"/>
        <v>131</v>
      </c>
      <c r="M186" s="7"/>
    </row>
    <row r="187" ht="22.5" customHeight="1">
      <c r="A187" s="4" t="s">
        <v>443</v>
      </c>
      <c r="B187" s="5">
        <v>44000.0</v>
      </c>
      <c r="C187" s="4" t="s">
        <v>11</v>
      </c>
      <c r="D187" s="6" t="s">
        <v>11</v>
      </c>
      <c r="E187" s="6" t="s">
        <v>11</v>
      </c>
      <c r="F187" s="4" t="s">
        <v>439</v>
      </c>
      <c r="G187" s="4" t="s">
        <v>41</v>
      </c>
      <c r="H187" s="4" t="s">
        <v>444</v>
      </c>
      <c r="I187" s="7"/>
      <c r="K187" s="4" t="s">
        <v>41</v>
      </c>
      <c r="L187" s="7">
        <f t="shared" si="1"/>
        <v>131</v>
      </c>
      <c r="M187" s="7"/>
    </row>
    <row r="188" ht="22.5" customHeight="1">
      <c r="A188" s="4" t="s">
        <v>445</v>
      </c>
      <c r="B188" s="5">
        <v>49950.0</v>
      </c>
      <c r="C188" s="4" t="s">
        <v>11</v>
      </c>
      <c r="D188" s="6" t="s">
        <v>11</v>
      </c>
      <c r="E188" s="6" t="s">
        <v>11</v>
      </c>
      <c r="F188" s="4" t="s">
        <v>439</v>
      </c>
      <c r="G188" s="4" t="s">
        <v>41</v>
      </c>
      <c r="H188" s="4" t="s">
        <v>446</v>
      </c>
      <c r="I188" s="7"/>
      <c r="K188" s="4" t="s">
        <v>41</v>
      </c>
      <c r="L188" s="7">
        <f t="shared" si="1"/>
        <v>131</v>
      </c>
      <c r="M188" s="7"/>
    </row>
    <row r="189" ht="22.5" customHeight="1">
      <c r="A189" s="4" t="s">
        <v>447</v>
      </c>
      <c r="B189" s="5">
        <v>84500.0</v>
      </c>
      <c r="C189" s="4" t="s">
        <v>11</v>
      </c>
      <c r="D189" s="6" t="s">
        <v>11</v>
      </c>
      <c r="E189" s="6" t="s">
        <v>11</v>
      </c>
      <c r="F189" s="4" t="s">
        <v>439</v>
      </c>
      <c r="G189" s="4" t="s">
        <v>64</v>
      </c>
      <c r="H189" s="4" t="s">
        <v>448</v>
      </c>
      <c r="I189" s="7"/>
      <c r="K189" s="4" t="s">
        <v>41</v>
      </c>
      <c r="L189" s="7">
        <f t="shared" si="1"/>
        <v>131</v>
      </c>
      <c r="M189" s="7"/>
    </row>
    <row r="190" ht="22.5" customHeight="1">
      <c r="A190" s="4" t="s">
        <v>449</v>
      </c>
      <c r="B190" s="5">
        <v>88000.0</v>
      </c>
      <c r="C190" s="4" t="s">
        <v>11</v>
      </c>
      <c r="D190" s="6" t="s">
        <v>11</v>
      </c>
      <c r="E190" s="6" t="s">
        <v>11</v>
      </c>
      <c r="F190" s="4" t="s">
        <v>439</v>
      </c>
      <c r="G190" s="4" t="s">
        <v>115</v>
      </c>
      <c r="H190" s="4" t="s">
        <v>450</v>
      </c>
      <c r="I190" s="7"/>
      <c r="K190" s="4" t="s">
        <v>41</v>
      </c>
      <c r="L190" s="7">
        <f t="shared" si="1"/>
        <v>131</v>
      </c>
      <c r="M190" s="7"/>
    </row>
    <row r="191" ht="22.5" customHeight="1">
      <c r="A191" s="4" t="s">
        <v>451</v>
      </c>
      <c r="B191" s="5">
        <v>99000.0</v>
      </c>
      <c r="C191" s="4" t="s">
        <v>11</v>
      </c>
      <c r="D191" s="6" t="s">
        <v>11</v>
      </c>
      <c r="E191" s="6" t="s">
        <v>11</v>
      </c>
      <c r="F191" s="4" t="s">
        <v>439</v>
      </c>
      <c r="G191" s="4" t="s">
        <v>115</v>
      </c>
      <c r="H191" s="4" t="s">
        <v>452</v>
      </c>
      <c r="I191" s="7"/>
      <c r="K191" s="4" t="s">
        <v>41</v>
      </c>
      <c r="L191" s="7">
        <f t="shared" si="1"/>
        <v>131</v>
      </c>
      <c r="M191" s="7"/>
    </row>
    <row r="192" ht="22.5" customHeight="1">
      <c r="A192" s="4" t="s">
        <v>453</v>
      </c>
      <c r="B192" s="5">
        <v>99400.0</v>
      </c>
      <c r="C192" s="4" t="s">
        <v>11</v>
      </c>
      <c r="D192" s="6" t="s">
        <v>11</v>
      </c>
      <c r="E192" s="6" t="s">
        <v>11</v>
      </c>
      <c r="F192" s="4" t="s">
        <v>439</v>
      </c>
      <c r="G192" s="4" t="s">
        <v>41</v>
      </c>
      <c r="H192" s="4" t="s">
        <v>454</v>
      </c>
      <c r="I192" s="7"/>
      <c r="K192" s="4" t="s">
        <v>41</v>
      </c>
      <c r="L192" s="7">
        <f t="shared" si="1"/>
        <v>131</v>
      </c>
      <c r="M192" s="7"/>
    </row>
    <row r="193" ht="22.5" customHeight="1">
      <c r="A193" s="4" t="s">
        <v>455</v>
      </c>
      <c r="B193" s="5">
        <v>115700.0</v>
      </c>
      <c r="C193" s="4" t="s">
        <v>11</v>
      </c>
      <c r="D193" s="6" t="s">
        <v>11</v>
      </c>
      <c r="E193" s="6" t="s">
        <v>11</v>
      </c>
      <c r="F193" s="4" t="s">
        <v>439</v>
      </c>
      <c r="G193" s="4" t="s">
        <v>64</v>
      </c>
      <c r="H193" s="4" t="s">
        <v>456</v>
      </c>
      <c r="I193" s="7"/>
      <c r="K193" s="4" t="s">
        <v>41</v>
      </c>
      <c r="L193" s="7">
        <f t="shared" si="1"/>
        <v>131</v>
      </c>
      <c r="M193" s="7"/>
    </row>
    <row r="194" ht="22.5" customHeight="1">
      <c r="A194" s="4" t="s">
        <v>457</v>
      </c>
      <c r="B194" s="5">
        <v>224700.0</v>
      </c>
      <c r="C194" s="4" t="s">
        <v>11</v>
      </c>
      <c r="D194" s="6" t="s">
        <v>11</v>
      </c>
      <c r="E194" s="6" t="s">
        <v>11</v>
      </c>
      <c r="F194" s="4" t="s">
        <v>439</v>
      </c>
      <c r="G194" s="4" t="s">
        <v>81</v>
      </c>
      <c r="H194" s="4" t="s">
        <v>458</v>
      </c>
      <c r="I194" s="7"/>
      <c r="K194" s="4" t="s">
        <v>41</v>
      </c>
      <c r="L194" s="7">
        <f t="shared" si="1"/>
        <v>131</v>
      </c>
      <c r="M194" s="7"/>
    </row>
    <row r="195" ht="22.5" customHeight="1">
      <c r="A195" s="4" t="s">
        <v>459</v>
      </c>
      <c r="B195" s="5">
        <v>233500.0</v>
      </c>
      <c r="C195" s="4" t="s">
        <v>11</v>
      </c>
      <c r="D195" s="6" t="s">
        <v>11</v>
      </c>
      <c r="E195" s="6" t="s">
        <v>11</v>
      </c>
      <c r="F195" s="4" t="s">
        <v>439</v>
      </c>
      <c r="G195" s="4" t="s">
        <v>66</v>
      </c>
      <c r="H195" s="4" t="s">
        <v>460</v>
      </c>
      <c r="I195" s="7"/>
      <c r="K195" s="4" t="s">
        <v>41</v>
      </c>
      <c r="L195" s="7">
        <f t="shared" si="1"/>
        <v>131</v>
      </c>
      <c r="M195" s="7"/>
    </row>
    <row r="196" ht="22.5" customHeight="1">
      <c r="A196" s="4" t="s">
        <v>461</v>
      </c>
      <c r="B196" s="5">
        <v>234650.0</v>
      </c>
      <c r="C196" s="4" t="s">
        <v>11</v>
      </c>
      <c r="D196" s="6" t="s">
        <v>11</v>
      </c>
      <c r="E196" s="6" t="s">
        <v>11</v>
      </c>
      <c r="F196" s="4" t="s">
        <v>439</v>
      </c>
      <c r="G196" s="4" t="s">
        <v>41</v>
      </c>
      <c r="H196" s="4" t="s">
        <v>462</v>
      </c>
      <c r="I196" s="7"/>
      <c r="K196" s="4" t="s">
        <v>41</v>
      </c>
      <c r="L196" s="7">
        <f t="shared" si="1"/>
        <v>131</v>
      </c>
      <c r="M196" s="7"/>
    </row>
    <row r="197" ht="22.5" customHeight="1">
      <c r="A197" s="4" t="s">
        <v>463</v>
      </c>
      <c r="B197" s="5">
        <v>260000.0</v>
      </c>
      <c r="C197" s="4" t="s">
        <v>11</v>
      </c>
      <c r="D197" s="6" t="s">
        <v>11</v>
      </c>
      <c r="E197" s="6" t="s">
        <v>11</v>
      </c>
      <c r="F197" s="4" t="s">
        <v>439</v>
      </c>
      <c r="G197" s="4" t="s">
        <v>25</v>
      </c>
      <c r="H197" s="4" t="s">
        <v>464</v>
      </c>
      <c r="I197" s="7"/>
      <c r="K197" s="4" t="s">
        <v>41</v>
      </c>
      <c r="L197" s="7">
        <f t="shared" si="1"/>
        <v>131</v>
      </c>
      <c r="M197" s="7"/>
    </row>
    <row r="198" ht="22.5" customHeight="1">
      <c r="A198" s="4" t="s">
        <v>465</v>
      </c>
      <c r="B198" s="5">
        <v>268470.0</v>
      </c>
      <c r="C198" s="4" t="s">
        <v>11</v>
      </c>
      <c r="D198" s="6" t="s">
        <v>11</v>
      </c>
      <c r="E198" s="6" t="s">
        <v>11</v>
      </c>
      <c r="F198" s="4" t="s">
        <v>439</v>
      </c>
      <c r="G198" s="4" t="s">
        <v>45</v>
      </c>
      <c r="H198" s="4" t="s">
        <v>466</v>
      </c>
      <c r="I198" s="7"/>
      <c r="K198" s="4" t="s">
        <v>41</v>
      </c>
      <c r="L198" s="7">
        <f t="shared" si="1"/>
        <v>131</v>
      </c>
      <c r="M198" s="7"/>
    </row>
    <row r="199" ht="22.5" customHeight="1">
      <c r="A199" s="4" t="s">
        <v>467</v>
      </c>
      <c r="B199" s="5">
        <v>295290.0</v>
      </c>
      <c r="C199" s="4" t="s">
        <v>11</v>
      </c>
      <c r="D199" s="6" t="s">
        <v>11</v>
      </c>
      <c r="E199" s="6" t="s">
        <v>11</v>
      </c>
      <c r="F199" s="4" t="s">
        <v>439</v>
      </c>
      <c r="G199" s="4" t="s">
        <v>64</v>
      </c>
      <c r="H199" s="4" t="s">
        <v>468</v>
      </c>
      <c r="I199" s="7"/>
      <c r="K199" s="4" t="s">
        <v>41</v>
      </c>
      <c r="L199" s="7">
        <f t="shared" si="1"/>
        <v>131</v>
      </c>
      <c r="M199" s="7"/>
    </row>
    <row r="200" ht="22.5" customHeight="1">
      <c r="A200" s="4" t="s">
        <v>469</v>
      </c>
      <c r="B200" s="5">
        <v>328855.0</v>
      </c>
      <c r="C200" s="4" t="s">
        <v>11</v>
      </c>
      <c r="D200" s="6" t="s">
        <v>11</v>
      </c>
      <c r="E200" s="6" t="s">
        <v>11</v>
      </c>
      <c r="F200" s="4" t="s">
        <v>439</v>
      </c>
      <c r="G200" s="4" t="s">
        <v>16</v>
      </c>
      <c r="H200" s="4" t="s">
        <v>470</v>
      </c>
      <c r="I200" s="7"/>
      <c r="K200" s="4" t="s">
        <v>41</v>
      </c>
      <c r="L200" s="7">
        <f t="shared" si="1"/>
        <v>131</v>
      </c>
      <c r="M200" s="7"/>
    </row>
    <row r="201" ht="22.5" customHeight="1">
      <c r="A201" s="4" t="s">
        <v>471</v>
      </c>
      <c r="B201" s="5">
        <v>340000.0</v>
      </c>
      <c r="C201" s="4" t="s">
        <v>11</v>
      </c>
      <c r="D201" s="6" t="s">
        <v>11</v>
      </c>
      <c r="E201" s="6" t="s">
        <v>11</v>
      </c>
      <c r="F201" s="4" t="s">
        <v>439</v>
      </c>
      <c r="G201" s="4" t="s">
        <v>41</v>
      </c>
      <c r="H201" s="4" t="s">
        <v>472</v>
      </c>
      <c r="I201" s="7"/>
      <c r="K201" s="4" t="s">
        <v>41</v>
      </c>
      <c r="L201" s="7">
        <f t="shared" si="1"/>
        <v>131</v>
      </c>
      <c r="M201" s="7"/>
    </row>
    <row r="202" ht="22.5" customHeight="1">
      <c r="A202" s="4" t="s">
        <v>473</v>
      </c>
      <c r="B202" s="5">
        <v>470300.0</v>
      </c>
      <c r="C202" s="4" t="s">
        <v>11</v>
      </c>
      <c r="D202" s="6" t="s">
        <v>11</v>
      </c>
      <c r="E202" s="6" t="s">
        <v>11</v>
      </c>
      <c r="F202" s="4" t="s">
        <v>439</v>
      </c>
      <c r="G202" s="4" t="s">
        <v>12</v>
      </c>
      <c r="H202" s="4" t="s">
        <v>474</v>
      </c>
      <c r="I202" s="7"/>
      <c r="K202" s="4" t="s">
        <v>41</v>
      </c>
      <c r="L202" s="7">
        <f t="shared" si="1"/>
        <v>131</v>
      </c>
      <c r="M202" s="7"/>
    </row>
    <row r="203" ht="22.5" customHeight="1">
      <c r="A203" s="4" t="s">
        <v>475</v>
      </c>
      <c r="B203" s="5">
        <v>42000.0</v>
      </c>
      <c r="C203" s="4" t="s">
        <v>11</v>
      </c>
      <c r="D203" s="6" t="s">
        <v>11</v>
      </c>
      <c r="E203" s="5">
        <v>142.0</v>
      </c>
      <c r="F203" s="4" t="s">
        <v>476</v>
      </c>
      <c r="G203" s="4" t="s">
        <v>41</v>
      </c>
      <c r="H203" s="4" t="s">
        <v>477</v>
      </c>
      <c r="I203" s="7"/>
      <c r="K203" s="4" t="s">
        <v>41</v>
      </c>
      <c r="L203" s="7">
        <f t="shared" si="1"/>
        <v>131</v>
      </c>
      <c r="M203" s="7"/>
    </row>
    <row r="204" ht="22.5" customHeight="1">
      <c r="A204" s="4" t="s">
        <v>478</v>
      </c>
      <c r="B204" s="5">
        <v>44999.0</v>
      </c>
      <c r="C204" s="4" t="s">
        <v>11</v>
      </c>
      <c r="D204" s="6" t="s">
        <v>11</v>
      </c>
      <c r="E204" s="5">
        <v>145.0</v>
      </c>
      <c r="F204" s="4" t="s">
        <v>476</v>
      </c>
      <c r="G204" s="4" t="s">
        <v>41</v>
      </c>
      <c r="H204" s="4" t="s">
        <v>479</v>
      </c>
      <c r="I204" s="7"/>
      <c r="K204" s="4" t="s">
        <v>41</v>
      </c>
      <c r="L204" s="7">
        <f t="shared" si="1"/>
        <v>131</v>
      </c>
      <c r="M204" s="7"/>
    </row>
    <row r="205" ht="22.5" customHeight="1">
      <c r="A205" s="4" t="s">
        <v>480</v>
      </c>
      <c r="B205" s="5">
        <v>45000.0</v>
      </c>
      <c r="C205" s="4" t="s">
        <v>11</v>
      </c>
      <c r="D205" s="6" t="s">
        <v>11</v>
      </c>
      <c r="E205" s="5">
        <v>46.0</v>
      </c>
      <c r="F205" s="4" t="s">
        <v>476</v>
      </c>
      <c r="G205" s="4" t="s">
        <v>64</v>
      </c>
      <c r="H205" s="4" t="s">
        <v>481</v>
      </c>
      <c r="I205" s="7"/>
      <c r="K205" s="4" t="s">
        <v>41</v>
      </c>
      <c r="L205" s="7">
        <f t="shared" si="1"/>
        <v>131</v>
      </c>
      <c r="M205" s="7"/>
    </row>
    <row r="206" ht="22.5" customHeight="1">
      <c r="A206" s="4" t="s">
        <v>482</v>
      </c>
      <c r="B206" s="5">
        <v>49999.0</v>
      </c>
      <c r="C206" s="4" t="s">
        <v>11</v>
      </c>
      <c r="D206" s="6" t="s">
        <v>11</v>
      </c>
      <c r="E206" s="5">
        <v>381.0</v>
      </c>
      <c r="F206" s="4" t="s">
        <v>476</v>
      </c>
      <c r="G206" s="4" t="s">
        <v>41</v>
      </c>
      <c r="H206" s="4" t="s">
        <v>483</v>
      </c>
      <c r="I206" s="7"/>
      <c r="K206" s="4" t="s">
        <v>41</v>
      </c>
      <c r="L206" s="7">
        <f t="shared" si="1"/>
        <v>131</v>
      </c>
      <c r="M206" s="7"/>
    </row>
    <row r="207" ht="22.5" customHeight="1">
      <c r="A207" s="4" t="s">
        <v>484</v>
      </c>
      <c r="B207" s="5">
        <v>63900.0</v>
      </c>
      <c r="C207" s="4" t="s">
        <v>11</v>
      </c>
      <c r="D207" s="6" t="s">
        <v>11</v>
      </c>
      <c r="E207" s="5">
        <v>24.0</v>
      </c>
      <c r="F207" s="4" t="s">
        <v>476</v>
      </c>
      <c r="G207" s="4" t="s">
        <v>12</v>
      </c>
      <c r="H207" s="4" t="s">
        <v>485</v>
      </c>
      <c r="I207" s="7"/>
      <c r="K207" s="4" t="s">
        <v>41</v>
      </c>
      <c r="L207" s="7">
        <f t="shared" si="1"/>
        <v>131</v>
      </c>
      <c r="M207" s="7"/>
    </row>
    <row r="208" ht="22.5" customHeight="1">
      <c r="A208" s="4" t="s">
        <v>486</v>
      </c>
      <c r="B208" s="5">
        <v>90000.0</v>
      </c>
      <c r="C208" s="4" t="s">
        <v>11</v>
      </c>
      <c r="D208" s="6" t="s">
        <v>11</v>
      </c>
      <c r="E208" s="5">
        <v>16.0</v>
      </c>
      <c r="F208" s="4" t="s">
        <v>476</v>
      </c>
      <c r="G208" s="4" t="s">
        <v>66</v>
      </c>
      <c r="H208" s="4" t="s">
        <v>487</v>
      </c>
      <c r="I208" s="7"/>
      <c r="K208" s="4" t="s">
        <v>41</v>
      </c>
      <c r="L208" s="7">
        <f t="shared" si="1"/>
        <v>131</v>
      </c>
      <c r="M208" s="7"/>
    </row>
    <row r="209" ht="22.5" customHeight="1">
      <c r="A209" s="4" t="s">
        <v>488</v>
      </c>
      <c r="B209" s="5">
        <v>97000.0</v>
      </c>
      <c r="C209" s="4" t="s">
        <v>11</v>
      </c>
      <c r="D209" s="6" t="s">
        <v>11</v>
      </c>
      <c r="E209" s="5">
        <v>14.0</v>
      </c>
      <c r="F209" s="4" t="s">
        <v>476</v>
      </c>
      <c r="G209" s="4" t="s">
        <v>64</v>
      </c>
      <c r="H209" s="4" t="s">
        <v>489</v>
      </c>
      <c r="I209" s="7"/>
      <c r="K209" s="4" t="s">
        <v>41</v>
      </c>
      <c r="L209" s="7">
        <f t="shared" si="1"/>
        <v>131</v>
      </c>
      <c r="M209" s="7"/>
    </row>
    <row r="210" ht="22.5" customHeight="1">
      <c r="A210" s="4" t="s">
        <v>490</v>
      </c>
      <c r="B210" s="5">
        <v>113800.0</v>
      </c>
      <c r="C210" s="4" t="s">
        <v>11</v>
      </c>
      <c r="D210" s="6" t="s">
        <v>11</v>
      </c>
      <c r="E210" s="5">
        <v>27.0</v>
      </c>
      <c r="F210" s="4" t="s">
        <v>476</v>
      </c>
      <c r="G210" s="4" t="s">
        <v>16</v>
      </c>
      <c r="H210" s="4" t="s">
        <v>491</v>
      </c>
      <c r="I210" s="7"/>
      <c r="K210" s="4" t="s">
        <v>41</v>
      </c>
      <c r="L210" s="7">
        <f t="shared" si="1"/>
        <v>131</v>
      </c>
      <c r="M210" s="7"/>
    </row>
    <row r="211" ht="22.5" customHeight="1">
      <c r="A211" s="4" t="s">
        <v>492</v>
      </c>
      <c r="B211" s="5">
        <v>116200.0</v>
      </c>
      <c r="C211" s="4" t="s">
        <v>11</v>
      </c>
      <c r="D211" s="6" t="s">
        <v>11</v>
      </c>
      <c r="E211" s="5">
        <v>9.0</v>
      </c>
      <c r="F211" s="4" t="s">
        <v>476</v>
      </c>
      <c r="G211" s="4" t="s">
        <v>41</v>
      </c>
      <c r="H211" s="4" t="s">
        <v>493</v>
      </c>
      <c r="I211" s="7"/>
      <c r="K211" s="4" t="s">
        <v>41</v>
      </c>
      <c r="L211" s="7">
        <f t="shared" si="1"/>
        <v>131</v>
      </c>
      <c r="M211" s="7"/>
    </row>
    <row r="212" ht="22.5" customHeight="1">
      <c r="A212" s="4" t="s">
        <v>494</v>
      </c>
      <c r="B212" s="5">
        <v>125600.0</v>
      </c>
      <c r="C212" s="4" t="s">
        <v>11</v>
      </c>
      <c r="D212" s="6" t="s">
        <v>11</v>
      </c>
      <c r="E212" s="5">
        <v>42.0</v>
      </c>
      <c r="F212" s="4" t="s">
        <v>476</v>
      </c>
      <c r="G212" s="4" t="s">
        <v>35</v>
      </c>
      <c r="H212" s="4" t="s">
        <v>495</v>
      </c>
      <c r="I212" s="7"/>
      <c r="K212" s="4" t="s">
        <v>41</v>
      </c>
      <c r="L212" s="7">
        <f t="shared" si="1"/>
        <v>131</v>
      </c>
      <c r="M212" s="7"/>
    </row>
    <row r="213" ht="22.5" customHeight="1">
      <c r="A213" s="4" t="s">
        <v>496</v>
      </c>
      <c r="B213" s="5">
        <v>132858.0</v>
      </c>
      <c r="C213" s="4" t="s">
        <v>11</v>
      </c>
      <c r="D213" s="6" t="s">
        <v>11</v>
      </c>
      <c r="E213" s="5">
        <v>72.0</v>
      </c>
      <c r="F213" s="4" t="s">
        <v>476</v>
      </c>
      <c r="G213" s="4" t="s">
        <v>41</v>
      </c>
      <c r="H213" s="4" t="s">
        <v>497</v>
      </c>
      <c r="I213" s="7"/>
      <c r="K213" s="4" t="s">
        <v>41</v>
      </c>
      <c r="L213" s="7">
        <f t="shared" si="1"/>
        <v>131</v>
      </c>
      <c r="M213" s="7"/>
    </row>
    <row r="214" ht="22.5" customHeight="1">
      <c r="A214" s="4" t="s">
        <v>498</v>
      </c>
      <c r="B214" s="5">
        <v>137000.0</v>
      </c>
      <c r="C214" s="4" t="s">
        <v>11</v>
      </c>
      <c r="D214" s="6" t="s">
        <v>11</v>
      </c>
      <c r="E214" s="5">
        <v>230.0</v>
      </c>
      <c r="F214" s="4" t="s">
        <v>476</v>
      </c>
      <c r="G214" s="4" t="s">
        <v>41</v>
      </c>
      <c r="H214" s="4" t="s">
        <v>499</v>
      </c>
      <c r="I214" s="7"/>
      <c r="K214" s="4" t="s">
        <v>41</v>
      </c>
      <c r="L214" s="7">
        <f t="shared" si="1"/>
        <v>131</v>
      </c>
      <c r="M214" s="7"/>
    </row>
    <row r="215" ht="22.5" customHeight="1">
      <c r="A215" s="4" t="s">
        <v>500</v>
      </c>
      <c r="B215" s="5">
        <v>137000.0</v>
      </c>
      <c r="C215" s="4" t="s">
        <v>11</v>
      </c>
      <c r="D215" s="6" t="s">
        <v>11</v>
      </c>
      <c r="E215" s="5">
        <v>53.0</v>
      </c>
      <c r="F215" s="4" t="s">
        <v>476</v>
      </c>
      <c r="G215" s="4" t="s">
        <v>131</v>
      </c>
      <c r="H215" s="4" t="s">
        <v>501</v>
      </c>
      <c r="I215" s="7"/>
      <c r="K215" s="4" t="s">
        <v>45</v>
      </c>
      <c r="L215" s="7">
        <f t="shared" si="1"/>
        <v>6</v>
      </c>
      <c r="M215" s="7"/>
    </row>
    <row r="216" ht="22.5" customHeight="1">
      <c r="A216" s="4" t="s">
        <v>502</v>
      </c>
      <c r="B216" s="5">
        <v>138602.0</v>
      </c>
      <c r="C216" s="4" t="s">
        <v>11</v>
      </c>
      <c r="D216" s="6" t="s">
        <v>11</v>
      </c>
      <c r="E216" s="5">
        <v>17.0</v>
      </c>
      <c r="F216" s="4" t="s">
        <v>476</v>
      </c>
      <c r="G216" s="4" t="s">
        <v>147</v>
      </c>
      <c r="H216" s="4" t="s">
        <v>503</v>
      </c>
      <c r="I216" s="7"/>
      <c r="K216" s="4" t="s">
        <v>45</v>
      </c>
      <c r="L216" s="7">
        <f t="shared" si="1"/>
        <v>6</v>
      </c>
      <c r="M216" s="7"/>
    </row>
    <row r="217" ht="22.5" customHeight="1">
      <c r="A217" s="4" t="s">
        <v>504</v>
      </c>
      <c r="B217" s="5">
        <v>139500.0</v>
      </c>
      <c r="C217" s="4" t="s">
        <v>11</v>
      </c>
      <c r="D217" s="6" t="s">
        <v>11</v>
      </c>
      <c r="E217" s="5">
        <v>121.0</v>
      </c>
      <c r="F217" s="4" t="s">
        <v>476</v>
      </c>
      <c r="G217" s="4" t="s">
        <v>41</v>
      </c>
      <c r="H217" s="4" t="s">
        <v>505</v>
      </c>
      <c r="I217" s="7"/>
      <c r="K217" s="4" t="s">
        <v>45</v>
      </c>
      <c r="L217" s="7">
        <f t="shared" si="1"/>
        <v>6</v>
      </c>
      <c r="M217" s="7"/>
    </row>
    <row r="218" ht="22.5" customHeight="1">
      <c r="A218" s="4" t="s">
        <v>506</v>
      </c>
      <c r="B218" s="5">
        <v>139900.0</v>
      </c>
      <c r="C218" s="4" t="s">
        <v>11</v>
      </c>
      <c r="D218" s="6" t="s">
        <v>11</v>
      </c>
      <c r="E218" s="5">
        <v>173.0</v>
      </c>
      <c r="F218" s="4" t="s">
        <v>476</v>
      </c>
      <c r="G218" s="4" t="s">
        <v>41</v>
      </c>
      <c r="H218" s="4" t="s">
        <v>507</v>
      </c>
      <c r="I218" s="7"/>
      <c r="K218" s="4" t="s">
        <v>45</v>
      </c>
      <c r="L218" s="7">
        <f t="shared" si="1"/>
        <v>6</v>
      </c>
      <c r="M218" s="7"/>
    </row>
    <row r="219" ht="22.5" customHeight="1">
      <c r="A219" s="4" t="s">
        <v>508</v>
      </c>
      <c r="B219" s="5">
        <v>146652.0</v>
      </c>
      <c r="C219" s="4" t="s">
        <v>11</v>
      </c>
      <c r="D219" s="6" t="s">
        <v>11</v>
      </c>
      <c r="E219" s="5">
        <v>303.0</v>
      </c>
      <c r="F219" s="4" t="s">
        <v>476</v>
      </c>
      <c r="G219" s="4" t="s">
        <v>41</v>
      </c>
      <c r="H219" s="4" t="s">
        <v>509</v>
      </c>
      <c r="I219" s="7"/>
      <c r="K219" s="4" t="s">
        <v>45</v>
      </c>
      <c r="L219" s="7">
        <f t="shared" si="1"/>
        <v>6</v>
      </c>
      <c r="M219" s="7"/>
    </row>
    <row r="220" ht="22.5" customHeight="1">
      <c r="A220" s="4" t="s">
        <v>510</v>
      </c>
      <c r="B220" s="5">
        <v>148000.0</v>
      </c>
      <c r="C220" s="4" t="s">
        <v>11</v>
      </c>
      <c r="D220" s="6" t="s">
        <v>11</v>
      </c>
      <c r="E220" s="5">
        <v>250.0</v>
      </c>
      <c r="F220" s="4" t="s">
        <v>476</v>
      </c>
      <c r="G220" s="4" t="s">
        <v>41</v>
      </c>
      <c r="H220" s="4" t="s">
        <v>511</v>
      </c>
      <c r="I220" s="7"/>
      <c r="K220" s="4" t="s">
        <v>45</v>
      </c>
      <c r="L220" s="7">
        <f t="shared" si="1"/>
        <v>6</v>
      </c>
      <c r="M220" s="7"/>
    </row>
    <row r="221" ht="22.5" customHeight="1">
      <c r="A221" s="4" t="s">
        <v>512</v>
      </c>
      <c r="B221" s="5">
        <v>157500.0</v>
      </c>
      <c r="C221" s="4" t="s">
        <v>11</v>
      </c>
      <c r="D221" s="6" t="s">
        <v>11</v>
      </c>
      <c r="E221" s="5">
        <v>17.0</v>
      </c>
      <c r="F221" s="4" t="s">
        <v>476</v>
      </c>
      <c r="G221" s="4" t="s">
        <v>66</v>
      </c>
      <c r="H221" s="4" t="s">
        <v>513</v>
      </c>
      <c r="I221" s="7"/>
      <c r="K221" s="4" t="s">
        <v>49</v>
      </c>
      <c r="L221" s="7">
        <f t="shared" si="1"/>
        <v>21</v>
      </c>
      <c r="M221" s="7"/>
    </row>
    <row r="222" ht="22.5" customHeight="1">
      <c r="A222" s="4" t="s">
        <v>514</v>
      </c>
      <c r="B222" s="5">
        <v>161350.0</v>
      </c>
      <c r="C222" s="4" t="s">
        <v>11</v>
      </c>
      <c r="D222" s="6" t="s">
        <v>11</v>
      </c>
      <c r="E222" s="5">
        <v>50.0</v>
      </c>
      <c r="F222" s="4" t="s">
        <v>476</v>
      </c>
      <c r="G222" s="4" t="s">
        <v>41</v>
      </c>
      <c r="H222" s="4" t="s">
        <v>515</v>
      </c>
      <c r="I222" s="7"/>
      <c r="K222" s="4" t="s">
        <v>49</v>
      </c>
      <c r="L222" s="7">
        <f t="shared" si="1"/>
        <v>21</v>
      </c>
      <c r="M222" s="7"/>
    </row>
    <row r="223" ht="22.5" customHeight="1">
      <c r="A223" s="4" t="s">
        <v>516</v>
      </c>
      <c r="B223" s="5">
        <v>162800.0</v>
      </c>
      <c r="C223" s="4" t="s">
        <v>11</v>
      </c>
      <c r="D223" s="6" t="s">
        <v>11</v>
      </c>
      <c r="E223" s="5">
        <v>131.0</v>
      </c>
      <c r="F223" s="4" t="s">
        <v>476</v>
      </c>
      <c r="G223" s="4" t="s">
        <v>41</v>
      </c>
      <c r="H223" s="4" t="s">
        <v>517</v>
      </c>
      <c r="I223" s="7"/>
      <c r="K223" s="4" t="s">
        <v>49</v>
      </c>
      <c r="L223" s="7">
        <f t="shared" si="1"/>
        <v>21</v>
      </c>
      <c r="M223" s="7"/>
    </row>
    <row r="224" ht="22.5" customHeight="1">
      <c r="A224" s="4" t="s">
        <v>518</v>
      </c>
      <c r="B224" s="5">
        <v>165000.0</v>
      </c>
      <c r="C224" s="4" t="s">
        <v>11</v>
      </c>
      <c r="D224" s="6" t="s">
        <v>11</v>
      </c>
      <c r="E224" s="5">
        <v>109.0</v>
      </c>
      <c r="F224" s="4" t="s">
        <v>476</v>
      </c>
      <c r="G224" s="4" t="s">
        <v>41</v>
      </c>
      <c r="H224" s="4" t="s">
        <v>519</v>
      </c>
      <c r="I224" s="7"/>
      <c r="K224" s="4" t="s">
        <v>49</v>
      </c>
      <c r="L224" s="7">
        <f t="shared" si="1"/>
        <v>21</v>
      </c>
      <c r="M224" s="7"/>
    </row>
    <row r="225" ht="22.5" customHeight="1">
      <c r="A225" s="4" t="s">
        <v>520</v>
      </c>
      <c r="B225" s="5">
        <v>168000.0</v>
      </c>
      <c r="C225" s="4" t="s">
        <v>11</v>
      </c>
      <c r="D225" s="6" t="s">
        <v>11</v>
      </c>
      <c r="E225" s="5">
        <v>65.0</v>
      </c>
      <c r="F225" s="4" t="s">
        <v>476</v>
      </c>
      <c r="G225" s="4" t="s">
        <v>35</v>
      </c>
      <c r="H225" s="4" t="s">
        <v>521</v>
      </c>
      <c r="I225" s="7"/>
      <c r="K225" s="4" t="s">
        <v>49</v>
      </c>
      <c r="L225" s="7">
        <f t="shared" si="1"/>
        <v>21</v>
      </c>
      <c r="M225" s="7"/>
    </row>
    <row r="226" ht="22.5" customHeight="1">
      <c r="A226" s="4" t="s">
        <v>522</v>
      </c>
      <c r="B226" s="5">
        <v>174000.0</v>
      </c>
      <c r="C226" s="4" t="s">
        <v>11</v>
      </c>
      <c r="D226" s="6" t="s">
        <v>11</v>
      </c>
      <c r="E226" s="5">
        <v>20.0</v>
      </c>
      <c r="F226" s="4" t="s">
        <v>476</v>
      </c>
      <c r="G226" s="4" t="s">
        <v>49</v>
      </c>
      <c r="H226" s="4" t="s">
        <v>523</v>
      </c>
      <c r="I226" s="7"/>
      <c r="K226" s="4" t="s">
        <v>49</v>
      </c>
      <c r="L226" s="7">
        <f t="shared" si="1"/>
        <v>21</v>
      </c>
      <c r="M226" s="7"/>
    </row>
    <row r="227" ht="22.5" customHeight="1">
      <c r="A227" s="4" t="s">
        <v>524</v>
      </c>
      <c r="B227" s="5">
        <v>180000.0</v>
      </c>
      <c r="C227" s="4" t="s">
        <v>11</v>
      </c>
      <c r="D227" s="6" t="s">
        <v>11</v>
      </c>
      <c r="E227" s="5">
        <v>56.0</v>
      </c>
      <c r="F227" s="4" t="s">
        <v>476</v>
      </c>
      <c r="G227" s="4" t="s">
        <v>21</v>
      </c>
      <c r="H227" s="4" t="s">
        <v>525</v>
      </c>
      <c r="I227" s="7"/>
      <c r="K227" s="4" t="s">
        <v>49</v>
      </c>
      <c r="L227" s="7">
        <f t="shared" si="1"/>
        <v>21</v>
      </c>
      <c r="M227" s="7"/>
    </row>
    <row r="228" ht="22.5" customHeight="1">
      <c r="A228" s="4" t="s">
        <v>317</v>
      </c>
      <c r="B228" s="5">
        <v>180000.0</v>
      </c>
      <c r="C228" s="4" t="s">
        <v>11</v>
      </c>
      <c r="D228" s="6" t="s">
        <v>11</v>
      </c>
      <c r="E228" s="5">
        <v>217.0</v>
      </c>
      <c r="F228" s="4" t="s">
        <v>476</v>
      </c>
      <c r="G228" s="4" t="s">
        <v>41</v>
      </c>
      <c r="H228" s="4" t="s">
        <v>526</v>
      </c>
      <c r="I228" s="7"/>
      <c r="K228" s="4" t="s">
        <v>49</v>
      </c>
      <c r="L228" s="7">
        <f t="shared" si="1"/>
        <v>21</v>
      </c>
      <c r="M228" s="7"/>
    </row>
    <row r="229" ht="22.5" customHeight="1">
      <c r="A229" s="4" t="s">
        <v>527</v>
      </c>
      <c r="B229" s="5">
        <v>185000.0</v>
      </c>
      <c r="C229" s="4" t="s">
        <v>11</v>
      </c>
      <c r="D229" s="6" t="s">
        <v>11</v>
      </c>
      <c r="E229" s="5">
        <v>30.0</v>
      </c>
      <c r="F229" s="4" t="s">
        <v>476</v>
      </c>
      <c r="G229" s="4" t="s">
        <v>147</v>
      </c>
      <c r="H229" s="4" t="s">
        <v>528</v>
      </c>
      <c r="I229" s="7"/>
      <c r="K229" s="4" t="s">
        <v>49</v>
      </c>
      <c r="L229" s="7">
        <f t="shared" si="1"/>
        <v>21</v>
      </c>
      <c r="M229" s="7"/>
    </row>
    <row r="230" ht="22.5" customHeight="1">
      <c r="A230" s="4" t="s">
        <v>529</v>
      </c>
      <c r="B230" s="5">
        <v>188000.0</v>
      </c>
      <c r="C230" s="4" t="s">
        <v>11</v>
      </c>
      <c r="D230" s="6" t="s">
        <v>11</v>
      </c>
      <c r="E230" s="5">
        <v>1000.0</v>
      </c>
      <c r="F230" s="4" t="s">
        <v>476</v>
      </c>
      <c r="G230" s="4" t="s">
        <v>14</v>
      </c>
      <c r="H230" s="4" t="s">
        <v>530</v>
      </c>
      <c r="I230" s="7"/>
      <c r="K230" s="4" t="s">
        <v>49</v>
      </c>
      <c r="L230" s="7">
        <f t="shared" si="1"/>
        <v>21</v>
      </c>
      <c r="M230" s="7"/>
    </row>
    <row r="231" ht="22.5" customHeight="1">
      <c r="A231" s="4" t="s">
        <v>531</v>
      </c>
      <c r="B231" s="5">
        <v>192000.0</v>
      </c>
      <c r="C231" s="4" t="s">
        <v>11</v>
      </c>
      <c r="D231" s="6" t="s">
        <v>11</v>
      </c>
      <c r="E231" s="5">
        <v>1000.0</v>
      </c>
      <c r="F231" s="4" t="s">
        <v>476</v>
      </c>
      <c r="G231" s="4" t="s">
        <v>14</v>
      </c>
      <c r="H231" s="4" t="s">
        <v>532</v>
      </c>
      <c r="I231" s="7"/>
      <c r="K231" s="4" t="s">
        <v>49</v>
      </c>
      <c r="L231" s="7">
        <f t="shared" si="1"/>
        <v>21</v>
      </c>
      <c r="M231" s="7"/>
    </row>
    <row r="232" ht="22.5" customHeight="1">
      <c r="A232" s="4" t="s">
        <v>533</v>
      </c>
      <c r="B232" s="5">
        <v>195000.0</v>
      </c>
      <c r="C232" s="4" t="s">
        <v>11</v>
      </c>
      <c r="D232" s="6" t="s">
        <v>11</v>
      </c>
      <c r="E232" s="5">
        <v>53.0</v>
      </c>
      <c r="F232" s="4" t="s">
        <v>476</v>
      </c>
      <c r="G232" s="4" t="s">
        <v>37</v>
      </c>
      <c r="H232" s="4" t="s">
        <v>534</v>
      </c>
      <c r="I232" s="7"/>
      <c r="K232" s="4" t="s">
        <v>49</v>
      </c>
      <c r="L232" s="7">
        <f t="shared" si="1"/>
        <v>21</v>
      </c>
      <c r="M232" s="7"/>
    </row>
    <row r="233" ht="22.5" customHeight="1">
      <c r="A233" s="4" t="s">
        <v>535</v>
      </c>
      <c r="B233" s="5">
        <v>207000.0</v>
      </c>
      <c r="C233" s="4" t="s">
        <v>11</v>
      </c>
      <c r="D233" s="6" t="s">
        <v>11</v>
      </c>
      <c r="E233" s="5">
        <v>16.0</v>
      </c>
      <c r="F233" s="4" t="s">
        <v>476</v>
      </c>
      <c r="G233" s="4" t="s">
        <v>53</v>
      </c>
      <c r="H233" s="4" t="s">
        <v>536</v>
      </c>
      <c r="I233" s="7"/>
      <c r="K233" s="4" t="s">
        <v>49</v>
      </c>
      <c r="L233" s="7">
        <f t="shared" si="1"/>
        <v>21</v>
      </c>
      <c r="M233" s="7"/>
    </row>
    <row r="234" ht="22.5" customHeight="1">
      <c r="A234" s="4" t="s">
        <v>537</v>
      </c>
      <c r="B234" s="5">
        <v>209888.0</v>
      </c>
      <c r="C234" s="4" t="s">
        <v>11</v>
      </c>
      <c r="D234" s="6" t="s">
        <v>11</v>
      </c>
      <c r="E234" s="5">
        <v>55.0</v>
      </c>
      <c r="F234" s="4" t="s">
        <v>476</v>
      </c>
      <c r="G234" s="4" t="s">
        <v>27</v>
      </c>
      <c r="H234" s="4" t="s">
        <v>538</v>
      </c>
      <c r="I234" s="7"/>
      <c r="K234" s="4" t="s">
        <v>49</v>
      </c>
      <c r="L234" s="7">
        <f t="shared" si="1"/>
        <v>21</v>
      </c>
      <c r="M234" s="7"/>
    </row>
    <row r="235" ht="22.5" customHeight="1">
      <c r="A235" s="4" t="s">
        <v>539</v>
      </c>
      <c r="B235" s="5">
        <v>210900.0</v>
      </c>
      <c r="C235" s="4" t="s">
        <v>11</v>
      </c>
      <c r="D235" s="6" t="s">
        <v>11</v>
      </c>
      <c r="E235" s="5">
        <v>24.0</v>
      </c>
      <c r="F235" s="4" t="s">
        <v>476</v>
      </c>
      <c r="G235" s="4" t="s">
        <v>27</v>
      </c>
      <c r="H235" s="4" t="s">
        <v>540</v>
      </c>
      <c r="I235" s="7"/>
      <c r="K235" s="4" t="s">
        <v>49</v>
      </c>
      <c r="L235" s="7">
        <f t="shared" si="1"/>
        <v>21</v>
      </c>
      <c r="M235" s="7"/>
    </row>
    <row r="236" ht="22.5" customHeight="1">
      <c r="A236" s="4" t="s">
        <v>541</v>
      </c>
      <c r="B236" s="5">
        <v>211050.0</v>
      </c>
      <c r="C236" s="4" t="s">
        <v>11</v>
      </c>
      <c r="D236" s="6" t="s">
        <v>11</v>
      </c>
      <c r="E236" s="5">
        <v>188.0</v>
      </c>
      <c r="F236" s="4" t="s">
        <v>476</v>
      </c>
      <c r="G236" s="4" t="s">
        <v>37</v>
      </c>
      <c r="H236" s="4" t="s">
        <v>542</v>
      </c>
      <c r="I236" s="7"/>
      <c r="K236" s="4" t="s">
        <v>49</v>
      </c>
      <c r="L236" s="7">
        <f t="shared" si="1"/>
        <v>21</v>
      </c>
      <c r="M236" s="7"/>
    </row>
    <row r="237" ht="22.5" customHeight="1">
      <c r="A237" s="4" t="s">
        <v>543</v>
      </c>
      <c r="B237" s="5">
        <v>229000.0</v>
      </c>
      <c r="C237" s="4" t="s">
        <v>11</v>
      </c>
      <c r="D237" s="6" t="s">
        <v>11</v>
      </c>
      <c r="E237" s="5">
        <v>11.0</v>
      </c>
      <c r="F237" s="4" t="s">
        <v>476</v>
      </c>
      <c r="G237" s="4" t="s">
        <v>144</v>
      </c>
      <c r="H237" s="4" t="s">
        <v>544</v>
      </c>
      <c r="I237" s="7"/>
      <c r="K237" s="4" t="s">
        <v>49</v>
      </c>
      <c r="L237" s="7">
        <f t="shared" si="1"/>
        <v>21</v>
      </c>
      <c r="M237" s="7"/>
    </row>
    <row r="238" ht="22.5" customHeight="1">
      <c r="A238" s="4" t="s">
        <v>545</v>
      </c>
      <c r="B238" s="5">
        <v>230720.0</v>
      </c>
      <c r="C238" s="4" t="s">
        <v>11</v>
      </c>
      <c r="D238" s="6" t="s">
        <v>11</v>
      </c>
      <c r="E238" s="5">
        <v>54.0</v>
      </c>
      <c r="F238" s="4" t="s">
        <v>476</v>
      </c>
      <c r="G238" s="4" t="s">
        <v>147</v>
      </c>
      <c r="H238" s="4" t="s">
        <v>546</v>
      </c>
      <c r="I238" s="7"/>
      <c r="K238" s="4" t="s">
        <v>49</v>
      </c>
      <c r="L238" s="7">
        <f t="shared" si="1"/>
        <v>21</v>
      </c>
      <c r="M238" s="7"/>
    </row>
    <row r="239" ht="22.5" customHeight="1">
      <c r="A239" s="4" t="s">
        <v>547</v>
      </c>
      <c r="B239" s="5">
        <v>236400.0</v>
      </c>
      <c r="C239" s="4" t="s">
        <v>11</v>
      </c>
      <c r="D239" s="6" t="s">
        <v>11</v>
      </c>
      <c r="E239" s="5">
        <v>48.0</v>
      </c>
      <c r="F239" s="4" t="s">
        <v>476</v>
      </c>
      <c r="G239" s="4" t="s">
        <v>14</v>
      </c>
      <c r="H239" s="4" t="s">
        <v>548</v>
      </c>
      <c r="I239" s="7"/>
      <c r="K239" s="4" t="s">
        <v>49</v>
      </c>
      <c r="L239" s="7">
        <f t="shared" si="1"/>
        <v>21</v>
      </c>
      <c r="M239" s="7"/>
    </row>
    <row r="240" ht="22.5" customHeight="1">
      <c r="A240" s="4" t="s">
        <v>549</v>
      </c>
      <c r="B240" s="5">
        <v>244393.0</v>
      </c>
      <c r="C240" s="4" t="s">
        <v>11</v>
      </c>
      <c r="D240" s="6" t="s">
        <v>11</v>
      </c>
      <c r="E240" s="5">
        <v>394.0</v>
      </c>
      <c r="F240" s="4" t="s">
        <v>476</v>
      </c>
      <c r="G240" s="4" t="s">
        <v>41</v>
      </c>
      <c r="H240" s="4" t="s">
        <v>550</v>
      </c>
      <c r="I240" s="7"/>
      <c r="K240" s="4" t="s">
        <v>49</v>
      </c>
      <c r="L240" s="7">
        <f t="shared" si="1"/>
        <v>21</v>
      </c>
      <c r="M240" s="7"/>
    </row>
    <row r="241" ht="22.5" customHeight="1">
      <c r="A241" s="4" t="s">
        <v>551</v>
      </c>
      <c r="B241" s="5">
        <v>257900.0</v>
      </c>
      <c r="C241" s="4" t="s">
        <v>11</v>
      </c>
      <c r="D241" s="6" t="s">
        <v>11</v>
      </c>
      <c r="E241" s="5">
        <v>38.0</v>
      </c>
      <c r="F241" s="4" t="s">
        <v>476</v>
      </c>
      <c r="G241" s="4" t="s">
        <v>71</v>
      </c>
      <c r="H241" s="4" t="s">
        <v>552</v>
      </c>
      <c r="I241" s="7"/>
      <c r="K241" s="4" t="s">
        <v>49</v>
      </c>
      <c r="L241" s="7">
        <f t="shared" si="1"/>
        <v>21</v>
      </c>
      <c r="M241" s="7"/>
    </row>
    <row r="242" ht="22.5" customHeight="1">
      <c r="A242" s="4" t="s">
        <v>553</v>
      </c>
      <c r="B242" s="5">
        <v>315000.0</v>
      </c>
      <c r="C242" s="4" t="s">
        <v>11</v>
      </c>
      <c r="D242" s="6" t="s">
        <v>11</v>
      </c>
      <c r="E242" s="5">
        <v>493.0</v>
      </c>
      <c r="F242" s="4" t="s">
        <v>476</v>
      </c>
      <c r="G242" s="4" t="s">
        <v>66</v>
      </c>
      <c r="H242" s="4" t="s">
        <v>554</v>
      </c>
      <c r="I242" s="7"/>
      <c r="K242" s="4" t="s">
        <v>53</v>
      </c>
      <c r="L242" s="7">
        <f t="shared" si="1"/>
        <v>7</v>
      </c>
      <c r="M242" s="7"/>
    </row>
    <row r="243" ht="22.5" customHeight="1">
      <c r="A243" s="4" t="s">
        <v>555</v>
      </c>
      <c r="B243" s="5">
        <v>324735.0</v>
      </c>
      <c r="C243" s="4" t="s">
        <v>11</v>
      </c>
      <c r="D243" s="6" t="s">
        <v>11</v>
      </c>
      <c r="E243" s="5">
        <v>21.0</v>
      </c>
      <c r="F243" s="4" t="s">
        <v>476</v>
      </c>
      <c r="G243" s="4" t="s">
        <v>12</v>
      </c>
      <c r="H243" s="4" t="s">
        <v>556</v>
      </c>
      <c r="I243" s="7"/>
      <c r="K243" s="4" t="s">
        <v>53</v>
      </c>
      <c r="L243" s="7">
        <f t="shared" si="1"/>
        <v>7</v>
      </c>
      <c r="M243" s="7"/>
    </row>
    <row r="244" ht="22.5" customHeight="1">
      <c r="A244" s="4" t="s">
        <v>557</v>
      </c>
      <c r="B244" s="5">
        <v>345000.0</v>
      </c>
      <c r="C244" s="4" t="s">
        <v>11</v>
      </c>
      <c r="D244" s="6" t="s">
        <v>11</v>
      </c>
      <c r="E244" s="5">
        <v>53.0</v>
      </c>
      <c r="F244" s="4" t="s">
        <v>476</v>
      </c>
      <c r="G244" s="4" t="s">
        <v>18</v>
      </c>
      <c r="H244" s="4" t="s">
        <v>558</v>
      </c>
      <c r="I244" s="7"/>
      <c r="K244" s="4" t="s">
        <v>53</v>
      </c>
      <c r="L244" s="7">
        <f t="shared" si="1"/>
        <v>7</v>
      </c>
      <c r="M244" s="7"/>
    </row>
    <row r="245" ht="22.5" customHeight="1">
      <c r="A245" s="4" t="s">
        <v>559</v>
      </c>
      <c r="B245" s="5">
        <v>431910.0</v>
      </c>
      <c r="C245" s="4" t="s">
        <v>11</v>
      </c>
      <c r="D245" s="6" t="s">
        <v>11</v>
      </c>
      <c r="E245" s="5">
        <v>14.0</v>
      </c>
      <c r="F245" s="4" t="s">
        <v>476</v>
      </c>
      <c r="G245" s="4" t="s">
        <v>12</v>
      </c>
      <c r="H245" s="4" t="s">
        <v>560</v>
      </c>
      <c r="I245" s="7"/>
      <c r="K245" s="4" t="s">
        <v>53</v>
      </c>
      <c r="L245" s="7">
        <f t="shared" si="1"/>
        <v>7</v>
      </c>
      <c r="M245" s="7"/>
    </row>
    <row r="246" ht="22.5" customHeight="1">
      <c r="A246" s="4" t="s">
        <v>561</v>
      </c>
      <c r="B246" s="5">
        <v>528000.0</v>
      </c>
      <c r="C246" s="4" t="s">
        <v>11</v>
      </c>
      <c r="D246" s="6" t="s">
        <v>11</v>
      </c>
      <c r="E246" s="5">
        <v>166.0</v>
      </c>
      <c r="F246" s="4" t="s">
        <v>476</v>
      </c>
      <c r="G246" s="4" t="s">
        <v>115</v>
      </c>
      <c r="H246" s="4" t="s">
        <v>562</v>
      </c>
      <c r="I246" s="7"/>
      <c r="K246" s="4" t="s">
        <v>53</v>
      </c>
      <c r="L246" s="7">
        <f t="shared" si="1"/>
        <v>7</v>
      </c>
      <c r="M246" s="7"/>
    </row>
    <row r="247" ht="22.5" customHeight="1">
      <c r="A247" s="4" t="s">
        <v>563</v>
      </c>
      <c r="B247" s="5">
        <v>535700.0</v>
      </c>
      <c r="C247" s="4" t="s">
        <v>11</v>
      </c>
      <c r="D247" s="6" t="s">
        <v>11</v>
      </c>
      <c r="E247" s="5">
        <v>52.0</v>
      </c>
      <c r="F247" s="4" t="s">
        <v>476</v>
      </c>
      <c r="G247" s="4" t="s">
        <v>12</v>
      </c>
      <c r="H247" s="4" t="s">
        <v>564</v>
      </c>
      <c r="I247" s="7"/>
      <c r="K247" s="4" t="s">
        <v>53</v>
      </c>
      <c r="L247" s="7">
        <f t="shared" si="1"/>
        <v>7</v>
      </c>
      <c r="M247" s="7"/>
    </row>
    <row r="248" ht="22.5" customHeight="1">
      <c r="A248" s="4" t="s">
        <v>565</v>
      </c>
      <c r="B248" s="5">
        <v>131250.0</v>
      </c>
      <c r="C248" s="4" t="s">
        <v>11</v>
      </c>
      <c r="D248" s="6" t="s">
        <v>11</v>
      </c>
      <c r="E248" s="6" t="s">
        <v>11</v>
      </c>
      <c r="F248" s="4" t="s">
        <v>566</v>
      </c>
      <c r="G248" s="4" t="s">
        <v>18</v>
      </c>
      <c r="H248" s="4" t="s">
        <v>567</v>
      </c>
      <c r="I248" s="7"/>
      <c r="K248" s="4" t="s">
        <v>53</v>
      </c>
      <c r="L248" s="7">
        <f t="shared" si="1"/>
        <v>7</v>
      </c>
      <c r="M248" s="7"/>
    </row>
    <row r="249" ht="22.5" customHeight="1">
      <c r="A249" s="4" t="s">
        <v>568</v>
      </c>
      <c r="B249" s="5">
        <v>19500.0</v>
      </c>
      <c r="C249" s="4" t="s">
        <v>11</v>
      </c>
      <c r="D249" s="6" t="s">
        <v>11</v>
      </c>
      <c r="E249" s="5">
        <v>8.0</v>
      </c>
      <c r="F249" s="4" t="s">
        <v>569</v>
      </c>
      <c r="G249" s="4" t="s">
        <v>16</v>
      </c>
      <c r="H249" s="4" t="s">
        <v>570</v>
      </c>
      <c r="I249" s="7"/>
      <c r="K249" s="4" t="s">
        <v>57</v>
      </c>
      <c r="L249" s="7">
        <f t="shared" si="1"/>
        <v>15</v>
      </c>
      <c r="M249" s="7"/>
    </row>
    <row r="250" ht="22.5" customHeight="1">
      <c r="A250" s="4" t="s">
        <v>571</v>
      </c>
      <c r="B250" s="5">
        <v>31500.0</v>
      </c>
      <c r="C250" s="4" t="s">
        <v>11</v>
      </c>
      <c r="D250" s="6" t="s">
        <v>11</v>
      </c>
      <c r="E250" s="5">
        <v>8.0</v>
      </c>
      <c r="F250" s="4" t="s">
        <v>569</v>
      </c>
      <c r="G250" s="4" t="s">
        <v>66</v>
      </c>
      <c r="H250" s="4" t="s">
        <v>572</v>
      </c>
      <c r="I250" s="7"/>
      <c r="K250" s="4" t="s">
        <v>57</v>
      </c>
      <c r="L250" s="7">
        <f t="shared" si="1"/>
        <v>15</v>
      </c>
      <c r="M250" s="7"/>
    </row>
    <row r="251" ht="22.5" customHeight="1">
      <c r="A251" s="4" t="s">
        <v>573</v>
      </c>
      <c r="B251" s="5">
        <v>35000.0</v>
      </c>
      <c r="C251" s="4" t="s">
        <v>11</v>
      </c>
      <c r="D251" s="6" t="s">
        <v>11</v>
      </c>
      <c r="E251" s="5">
        <v>2.0</v>
      </c>
      <c r="F251" s="4" t="s">
        <v>569</v>
      </c>
      <c r="G251" s="4" t="s">
        <v>27</v>
      </c>
      <c r="H251" s="4" t="s">
        <v>574</v>
      </c>
      <c r="I251" s="7"/>
      <c r="K251" s="4" t="s">
        <v>57</v>
      </c>
      <c r="L251" s="7">
        <f t="shared" si="1"/>
        <v>15</v>
      </c>
      <c r="M251" s="7"/>
    </row>
    <row r="252" ht="22.5" customHeight="1">
      <c r="A252" s="4" t="s">
        <v>575</v>
      </c>
      <c r="B252" s="5">
        <v>37000.0</v>
      </c>
      <c r="C252" s="4" t="s">
        <v>11</v>
      </c>
      <c r="D252" s="6" t="s">
        <v>11</v>
      </c>
      <c r="E252" s="5">
        <v>8.0</v>
      </c>
      <c r="F252" s="4" t="s">
        <v>569</v>
      </c>
      <c r="G252" s="4" t="s">
        <v>49</v>
      </c>
      <c r="H252" s="4" t="s">
        <v>576</v>
      </c>
      <c r="I252" s="7"/>
      <c r="K252" s="4" t="s">
        <v>57</v>
      </c>
      <c r="L252" s="7">
        <f t="shared" si="1"/>
        <v>15</v>
      </c>
      <c r="M252" s="7"/>
    </row>
    <row r="253" ht="22.5" customHeight="1">
      <c r="A253" s="4" t="s">
        <v>577</v>
      </c>
      <c r="B253" s="5">
        <v>43605.0</v>
      </c>
      <c r="C253" s="4" t="s">
        <v>11</v>
      </c>
      <c r="D253" s="6" t="s">
        <v>11</v>
      </c>
      <c r="E253" s="5">
        <v>9.0</v>
      </c>
      <c r="F253" s="4" t="s">
        <v>569</v>
      </c>
      <c r="G253" s="4" t="s">
        <v>153</v>
      </c>
      <c r="H253" s="4" t="s">
        <v>578</v>
      </c>
      <c r="I253" s="7"/>
      <c r="K253" s="4" t="s">
        <v>57</v>
      </c>
      <c r="L253" s="7">
        <f t="shared" si="1"/>
        <v>15</v>
      </c>
      <c r="M253" s="7"/>
    </row>
    <row r="254" ht="22.5" customHeight="1">
      <c r="A254" s="4" t="s">
        <v>579</v>
      </c>
      <c r="B254" s="5">
        <v>49400.0</v>
      </c>
      <c r="C254" s="4" t="s">
        <v>11</v>
      </c>
      <c r="D254" s="6" t="s">
        <v>11</v>
      </c>
      <c r="E254" s="5">
        <v>47.0</v>
      </c>
      <c r="F254" s="4" t="s">
        <v>569</v>
      </c>
      <c r="G254" s="4" t="s">
        <v>18</v>
      </c>
      <c r="H254" s="4" t="s">
        <v>580</v>
      </c>
      <c r="I254" s="7"/>
      <c r="K254" s="4" t="s">
        <v>57</v>
      </c>
      <c r="L254" s="7">
        <f t="shared" si="1"/>
        <v>15</v>
      </c>
      <c r="M254" s="7"/>
    </row>
    <row r="255" ht="22.5" customHeight="1">
      <c r="A255" s="4" t="s">
        <v>581</v>
      </c>
      <c r="B255" s="5">
        <v>55100.0</v>
      </c>
      <c r="C255" s="4" t="s">
        <v>11</v>
      </c>
      <c r="D255" s="6" t="s">
        <v>11</v>
      </c>
      <c r="E255" s="5">
        <v>4.0</v>
      </c>
      <c r="F255" s="4" t="s">
        <v>569</v>
      </c>
      <c r="G255" s="4" t="s">
        <v>57</v>
      </c>
      <c r="H255" s="4" t="s">
        <v>582</v>
      </c>
      <c r="I255" s="7"/>
      <c r="K255" s="4" t="s">
        <v>57</v>
      </c>
      <c r="L255" s="7">
        <f t="shared" si="1"/>
        <v>15</v>
      </c>
      <c r="M255" s="7"/>
    </row>
    <row r="256" ht="22.5" customHeight="1">
      <c r="A256" s="4" t="s">
        <v>583</v>
      </c>
      <c r="B256" s="5">
        <v>58560.0</v>
      </c>
      <c r="C256" s="4" t="s">
        <v>11</v>
      </c>
      <c r="D256" s="6" t="s">
        <v>11</v>
      </c>
      <c r="E256" s="5">
        <v>2.0</v>
      </c>
      <c r="F256" s="4" t="s">
        <v>569</v>
      </c>
      <c r="G256" s="4" t="s">
        <v>12</v>
      </c>
      <c r="H256" s="4" t="s">
        <v>146</v>
      </c>
      <c r="I256" s="7"/>
      <c r="K256" s="4" t="s">
        <v>57</v>
      </c>
      <c r="L256" s="7">
        <f t="shared" si="1"/>
        <v>15</v>
      </c>
      <c r="M256" s="7"/>
    </row>
    <row r="257" ht="22.5" customHeight="1">
      <c r="A257" s="4" t="s">
        <v>584</v>
      </c>
      <c r="B257" s="5">
        <v>63000.0</v>
      </c>
      <c r="C257" s="4" t="s">
        <v>11</v>
      </c>
      <c r="D257" s="6" t="s">
        <v>11</v>
      </c>
      <c r="E257" s="5">
        <v>3.0</v>
      </c>
      <c r="F257" s="4" t="s">
        <v>569</v>
      </c>
      <c r="G257" s="4" t="s">
        <v>12</v>
      </c>
      <c r="H257" s="4" t="s">
        <v>585</v>
      </c>
      <c r="I257" s="7"/>
      <c r="K257" s="4" t="s">
        <v>57</v>
      </c>
      <c r="L257" s="7">
        <f t="shared" si="1"/>
        <v>15</v>
      </c>
      <c r="M257" s="7"/>
    </row>
    <row r="258" ht="22.5" customHeight="1">
      <c r="A258" s="4" t="s">
        <v>586</v>
      </c>
      <c r="B258" s="5">
        <v>63500.0</v>
      </c>
      <c r="C258" s="4" t="s">
        <v>11</v>
      </c>
      <c r="D258" s="6" t="s">
        <v>11</v>
      </c>
      <c r="E258" s="5">
        <v>3.0</v>
      </c>
      <c r="F258" s="4" t="s">
        <v>569</v>
      </c>
      <c r="G258" s="4" t="s">
        <v>83</v>
      </c>
      <c r="H258" s="4" t="s">
        <v>587</v>
      </c>
      <c r="I258" s="7"/>
      <c r="K258" s="4" t="s">
        <v>57</v>
      </c>
      <c r="L258" s="7">
        <f t="shared" si="1"/>
        <v>15</v>
      </c>
      <c r="M258" s="7"/>
    </row>
    <row r="259" ht="22.5" customHeight="1">
      <c r="A259" s="4" t="s">
        <v>588</v>
      </c>
      <c r="B259" s="5">
        <v>65000.0</v>
      </c>
      <c r="C259" s="4" t="s">
        <v>11</v>
      </c>
      <c r="D259" s="6" t="s">
        <v>11</v>
      </c>
      <c r="E259" s="5">
        <v>3.0</v>
      </c>
      <c r="F259" s="4" t="s">
        <v>569</v>
      </c>
      <c r="G259" s="4" t="s">
        <v>169</v>
      </c>
      <c r="H259" s="4" t="s">
        <v>589</v>
      </c>
      <c r="I259" s="7"/>
      <c r="K259" s="4" t="s">
        <v>57</v>
      </c>
      <c r="L259" s="7">
        <f t="shared" si="1"/>
        <v>15</v>
      </c>
      <c r="M259" s="7"/>
    </row>
    <row r="260" ht="22.5" customHeight="1">
      <c r="A260" s="4" t="s">
        <v>590</v>
      </c>
      <c r="B260" s="5">
        <v>69500.0</v>
      </c>
      <c r="C260" s="4" t="s">
        <v>11</v>
      </c>
      <c r="D260" s="6" t="s">
        <v>11</v>
      </c>
      <c r="E260" s="5">
        <v>6.0</v>
      </c>
      <c r="F260" s="4" t="s">
        <v>569</v>
      </c>
      <c r="G260" s="4" t="s">
        <v>117</v>
      </c>
      <c r="H260" s="4" t="s">
        <v>591</v>
      </c>
      <c r="I260" s="7"/>
      <c r="K260" s="4" t="s">
        <v>57</v>
      </c>
      <c r="L260" s="7">
        <f t="shared" si="1"/>
        <v>15</v>
      </c>
      <c r="M260" s="7"/>
    </row>
    <row r="261" ht="22.5" customHeight="1">
      <c r="A261" s="4" t="s">
        <v>592</v>
      </c>
      <c r="B261" s="5">
        <v>70000.0</v>
      </c>
      <c r="C261" s="4" t="s">
        <v>11</v>
      </c>
      <c r="D261" s="6" t="s">
        <v>11</v>
      </c>
      <c r="E261" s="5">
        <v>8.0</v>
      </c>
      <c r="F261" s="4" t="s">
        <v>569</v>
      </c>
      <c r="G261" s="4" t="s">
        <v>41</v>
      </c>
      <c r="H261" s="4" t="s">
        <v>593</v>
      </c>
      <c r="I261" s="7"/>
      <c r="K261" s="4" t="s">
        <v>57</v>
      </c>
      <c r="L261" s="7">
        <f t="shared" si="1"/>
        <v>15</v>
      </c>
      <c r="M261" s="7"/>
    </row>
    <row r="262" ht="22.5" customHeight="1">
      <c r="A262" s="4" t="s">
        <v>594</v>
      </c>
      <c r="B262" s="5">
        <v>70700.0</v>
      </c>
      <c r="C262" s="4" t="s">
        <v>11</v>
      </c>
      <c r="D262" s="6" t="s">
        <v>11</v>
      </c>
      <c r="E262" s="5">
        <v>5.0</v>
      </c>
      <c r="F262" s="4" t="s">
        <v>569</v>
      </c>
      <c r="G262" s="4" t="s">
        <v>49</v>
      </c>
      <c r="H262" s="4" t="s">
        <v>595</v>
      </c>
      <c r="I262" s="7"/>
      <c r="K262" s="4" t="s">
        <v>57</v>
      </c>
      <c r="L262" s="7">
        <f t="shared" si="1"/>
        <v>15</v>
      </c>
      <c r="M262" s="7"/>
    </row>
    <row r="263" ht="22.5" customHeight="1">
      <c r="A263" s="4" t="s">
        <v>596</v>
      </c>
      <c r="B263" s="5">
        <v>77500.0</v>
      </c>
      <c r="C263" s="4" t="s">
        <v>11</v>
      </c>
      <c r="D263" s="6" t="s">
        <v>11</v>
      </c>
      <c r="E263" s="5">
        <v>2.0</v>
      </c>
      <c r="F263" s="4" t="s">
        <v>569</v>
      </c>
      <c r="G263" s="4" t="s">
        <v>83</v>
      </c>
      <c r="H263" s="4" t="s">
        <v>597</v>
      </c>
      <c r="I263" s="7"/>
      <c r="K263" s="4" t="s">
        <v>57</v>
      </c>
      <c r="L263" s="7">
        <f t="shared" si="1"/>
        <v>15</v>
      </c>
      <c r="M263" s="7"/>
    </row>
    <row r="264" ht="22.5" customHeight="1">
      <c r="A264" s="4" t="s">
        <v>350</v>
      </c>
      <c r="B264" s="5">
        <v>83900.0</v>
      </c>
      <c r="C264" s="4" t="s">
        <v>11</v>
      </c>
      <c r="D264" s="6" t="s">
        <v>11</v>
      </c>
      <c r="E264" s="5">
        <v>11.0</v>
      </c>
      <c r="F264" s="4" t="s">
        <v>569</v>
      </c>
      <c r="G264" s="4" t="s">
        <v>115</v>
      </c>
      <c r="H264" s="4" t="s">
        <v>598</v>
      </c>
      <c r="I264" s="7"/>
      <c r="K264" s="4" t="s">
        <v>61</v>
      </c>
      <c r="L264" s="7">
        <f t="shared" si="1"/>
        <v>1</v>
      </c>
      <c r="M264" s="7"/>
    </row>
    <row r="265" ht="22.5" customHeight="1">
      <c r="A265" s="4" t="s">
        <v>599</v>
      </c>
      <c r="B265" s="5">
        <v>85000.0</v>
      </c>
      <c r="C265" s="4" t="s">
        <v>11</v>
      </c>
      <c r="D265" s="6" t="s">
        <v>11</v>
      </c>
      <c r="E265" s="5">
        <v>6.0</v>
      </c>
      <c r="F265" s="4" t="s">
        <v>569</v>
      </c>
      <c r="G265" s="4" t="s">
        <v>88</v>
      </c>
      <c r="H265" s="4" t="s">
        <v>600</v>
      </c>
      <c r="I265" s="7"/>
      <c r="K265" s="4" t="s">
        <v>64</v>
      </c>
      <c r="L265" s="7">
        <f t="shared" si="1"/>
        <v>10</v>
      </c>
      <c r="M265" s="7"/>
    </row>
    <row r="266" ht="22.5" customHeight="1">
      <c r="A266" s="4" t="s">
        <v>601</v>
      </c>
      <c r="B266" s="5">
        <v>85000.0</v>
      </c>
      <c r="C266" s="4" t="s">
        <v>11</v>
      </c>
      <c r="D266" s="6" t="s">
        <v>11</v>
      </c>
      <c r="E266" s="5">
        <v>15.0</v>
      </c>
      <c r="F266" s="4" t="s">
        <v>569</v>
      </c>
      <c r="G266" s="4" t="s">
        <v>12</v>
      </c>
      <c r="H266" s="4" t="s">
        <v>602</v>
      </c>
      <c r="I266" s="7"/>
      <c r="K266" s="4" t="s">
        <v>64</v>
      </c>
      <c r="L266" s="7">
        <f t="shared" si="1"/>
        <v>10</v>
      </c>
      <c r="M266" s="7"/>
    </row>
    <row r="267" ht="22.5" customHeight="1">
      <c r="A267" s="4" t="s">
        <v>603</v>
      </c>
      <c r="B267" s="5">
        <v>85000.0</v>
      </c>
      <c r="C267" s="4" t="s">
        <v>11</v>
      </c>
      <c r="D267" s="6" t="s">
        <v>11</v>
      </c>
      <c r="E267" s="5">
        <v>10.0</v>
      </c>
      <c r="F267" s="4" t="s">
        <v>569</v>
      </c>
      <c r="G267" s="4" t="s">
        <v>115</v>
      </c>
      <c r="H267" s="4" t="s">
        <v>604</v>
      </c>
      <c r="I267" s="7"/>
      <c r="K267" s="4" t="s">
        <v>64</v>
      </c>
      <c r="L267" s="7">
        <f t="shared" si="1"/>
        <v>10</v>
      </c>
      <c r="M267" s="7"/>
    </row>
    <row r="268" ht="22.5" customHeight="1">
      <c r="A268" s="4" t="s">
        <v>605</v>
      </c>
      <c r="B268" s="5">
        <v>85000.0</v>
      </c>
      <c r="C268" s="4" t="s">
        <v>11</v>
      </c>
      <c r="D268" s="6" t="s">
        <v>11</v>
      </c>
      <c r="E268" s="5">
        <v>17.0</v>
      </c>
      <c r="F268" s="4" t="s">
        <v>569</v>
      </c>
      <c r="G268" s="4" t="s">
        <v>16</v>
      </c>
      <c r="H268" s="4" t="s">
        <v>606</v>
      </c>
      <c r="I268" s="7"/>
      <c r="K268" s="4" t="s">
        <v>64</v>
      </c>
      <c r="L268" s="7">
        <f t="shared" si="1"/>
        <v>10</v>
      </c>
      <c r="M268" s="7"/>
    </row>
    <row r="269" ht="22.5" customHeight="1">
      <c r="A269" s="4" t="s">
        <v>607</v>
      </c>
      <c r="B269" s="5">
        <v>85900.0</v>
      </c>
      <c r="C269" s="4" t="s">
        <v>11</v>
      </c>
      <c r="D269" s="6" t="s">
        <v>11</v>
      </c>
      <c r="E269" s="5">
        <v>324.0</v>
      </c>
      <c r="F269" s="4" t="s">
        <v>569</v>
      </c>
      <c r="G269" s="4" t="s">
        <v>16</v>
      </c>
      <c r="H269" s="4" t="s">
        <v>608</v>
      </c>
      <c r="I269" s="7"/>
      <c r="K269" s="4" t="s">
        <v>64</v>
      </c>
      <c r="L269" s="7">
        <f t="shared" si="1"/>
        <v>10</v>
      </c>
      <c r="M269" s="7"/>
    </row>
    <row r="270" ht="22.5" customHeight="1">
      <c r="A270" s="4" t="s">
        <v>609</v>
      </c>
      <c r="B270" s="5">
        <v>89800.0</v>
      </c>
      <c r="C270" s="4" t="s">
        <v>11</v>
      </c>
      <c r="D270" s="6" t="s">
        <v>11</v>
      </c>
      <c r="E270" s="5">
        <v>4.0</v>
      </c>
      <c r="F270" s="4" t="s">
        <v>569</v>
      </c>
      <c r="G270" s="4" t="s">
        <v>134</v>
      </c>
      <c r="H270" s="4" t="s">
        <v>610</v>
      </c>
      <c r="I270" s="7"/>
      <c r="K270" s="4" t="s">
        <v>64</v>
      </c>
      <c r="L270" s="7">
        <f t="shared" si="1"/>
        <v>10</v>
      </c>
      <c r="M270" s="7"/>
    </row>
    <row r="271" ht="22.5" customHeight="1">
      <c r="A271" s="4" t="s">
        <v>611</v>
      </c>
      <c r="B271" s="5">
        <v>90000.0</v>
      </c>
      <c r="C271" s="4" t="s">
        <v>11</v>
      </c>
      <c r="D271" s="6" t="s">
        <v>11</v>
      </c>
      <c r="E271" s="5">
        <v>1.0</v>
      </c>
      <c r="F271" s="4" t="s">
        <v>569</v>
      </c>
      <c r="G271" s="4" t="s">
        <v>12</v>
      </c>
      <c r="H271" s="4" t="s">
        <v>612</v>
      </c>
      <c r="I271" s="7"/>
      <c r="K271" s="4" t="s">
        <v>64</v>
      </c>
      <c r="L271" s="7">
        <f t="shared" si="1"/>
        <v>10</v>
      </c>
      <c r="M271" s="7"/>
    </row>
    <row r="272" ht="22.5" customHeight="1">
      <c r="A272" s="4" t="s">
        <v>613</v>
      </c>
      <c r="B272" s="5">
        <v>91900.0</v>
      </c>
      <c r="C272" s="4" t="s">
        <v>11</v>
      </c>
      <c r="D272" s="6" t="s">
        <v>11</v>
      </c>
      <c r="E272" s="5">
        <v>18.0</v>
      </c>
      <c r="F272" s="4" t="s">
        <v>569</v>
      </c>
      <c r="G272" s="4" t="s">
        <v>49</v>
      </c>
      <c r="H272" s="4" t="s">
        <v>614</v>
      </c>
      <c r="I272" s="7"/>
      <c r="K272" s="4" t="s">
        <v>64</v>
      </c>
      <c r="L272" s="7">
        <f t="shared" si="1"/>
        <v>10</v>
      </c>
      <c r="M272" s="7"/>
    </row>
    <row r="273" ht="22.5" customHeight="1">
      <c r="A273" s="4" t="s">
        <v>615</v>
      </c>
      <c r="B273" s="5">
        <v>93500.0</v>
      </c>
      <c r="C273" s="4" t="s">
        <v>11</v>
      </c>
      <c r="D273" s="6" t="s">
        <v>11</v>
      </c>
      <c r="E273" s="5">
        <v>26.0</v>
      </c>
      <c r="F273" s="4" t="s">
        <v>569</v>
      </c>
      <c r="G273" s="4" t="s">
        <v>66</v>
      </c>
      <c r="H273" s="4" t="s">
        <v>616</v>
      </c>
      <c r="I273" s="7"/>
      <c r="K273" s="4" t="s">
        <v>64</v>
      </c>
      <c r="L273" s="7">
        <f t="shared" si="1"/>
        <v>10</v>
      </c>
      <c r="M273" s="7"/>
    </row>
    <row r="274" ht="22.5" customHeight="1">
      <c r="A274" s="4" t="s">
        <v>617</v>
      </c>
      <c r="B274" s="5">
        <v>99400.0</v>
      </c>
      <c r="C274" s="4" t="s">
        <v>11</v>
      </c>
      <c r="D274" s="6" t="s">
        <v>11</v>
      </c>
      <c r="E274" s="5">
        <v>12.0</v>
      </c>
      <c r="F274" s="4" t="s">
        <v>569</v>
      </c>
      <c r="G274" s="4" t="s">
        <v>12</v>
      </c>
      <c r="H274" s="4" t="s">
        <v>618</v>
      </c>
      <c r="I274" s="7"/>
      <c r="K274" s="4" t="s">
        <v>64</v>
      </c>
      <c r="L274" s="7">
        <f t="shared" si="1"/>
        <v>10</v>
      </c>
      <c r="M274" s="7"/>
    </row>
    <row r="275" ht="22.5" customHeight="1">
      <c r="A275" s="4" t="s">
        <v>619</v>
      </c>
      <c r="B275" s="5">
        <v>99900.0</v>
      </c>
      <c r="C275" s="4" t="s">
        <v>11</v>
      </c>
      <c r="D275" s="6" t="s">
        <v>11</v>
      </c>
      <c r="E275" s="5">
        <v>17.0</v>
      </c>
      <c r="F275" s="4" t="s">
        <v>569</v>
      </c>
      <c r="G275" s="4" t="s">
        <v>41</v>
      </c>
      <c r="H275" s="4" t="s">
        <v>620</v>
      </c>
      <c r="I275" s="7"/>
      <c r="K275" s="4" t="s">
        <v>68</v>
      </c>
      <c r="L275" s="7">
        <f t="shared" si="1"/>
        <v>1</v>
      </c>
      <c r="M275" s="7"/>
    </row>
    <row r="276" ht="22.5" customHeight="1">
      <c r="A276" s="4" t="s">
        <v>621</v>
      </c>
      <c r="B276" s="5">
        <v>100000.0</v>
      </c>
      <c r="C276" s="4" t="s">
        <v>11</v>
      </c>
      <c r="D276" s="6" t="s">
        <v>11</v>
      </c>
      <c r="E276" s="5">
        <v>7.0</v>
      </c>
      <c r="F276" s="4" t="s">
        <v>569</v>
      </c>
      <c r="G276" s="4" t="s">
        <v>68</v>
      </c>
      <c r="H276" s="4" t="s">
        <v>622</v>
      </c>
      <c r="I276" s="7"/>
      <c r="K276" s="4" t="s">
        <v>73</v>
      </c>
      <c r="L276" s="7">
        <f t="shared" si="1"/>
        <v>1</v>
      </c>
      <c r="M276" s="7"/>
    </row>
    <row r="277" ht="22.5" customHeight="1">
      <c r="A277" s="4" t="s">
        <v>623</v>
      </c>
      <c r="B277" s="5">
        <v>106000.0</v>
      </c>
      <c r="C277" s="4" t="s">
        <v>11</v>
      </c>
      <c r="D277" s="6" t="s">
        <v>11</v>
      </c>
      <c r="E277" s="5">
        <v>32.0</v>
      </c>
      <c r="F277" s="4" t="s">
        <v>569</v>
      </c>
      <c r="G277" s="4" t="s">
        <v>64</v>
      </c>
      <c r="H277" s="4" t="s">
        <v>624</v>
      </c>
      <c r="I277" s="7"/>
      <c r="K277" s="4" t="s">
        <v>77</v>
      </c>
      <c r="L277" s="7">
        <f t="shared" si="1"/>
        <v>1</v>
      </c>
      <c r="M277" s="7"/>
    </row>
    <row r="278" ht="22.5" customHeight="1">
      <c r="A278" s="4" t="s">
        <v>625</v>
      </c>
      <c r="B278" s="5">
        <v>106900.0</v>
      </c>
      <c r="C278" s="4" t="s">
        <v>11</v>
      </c>
      <c r="D278" s="6" t="s">
        <v>11</v>
      </c>
      <c r="E278" s="5">
        <v>2.0</v>
      </c>
      <c r="F278" s="4" t="s">
        <v>569</v>
      </c>
      <c r="G278" s="4" t="s">
        <v>66</v>
      </c>
      <c r="H278" s="4" t="s">
        <v>626</v>
      </c>
      <c r="I278" s="7"/>
      <c r="K278" s="4" t="s">
        <v>81</v>
      </c>
      <c r="L278" s="7">
        <f t="shared" si="1"/>
        <v>1</v>
      </c>
      <c r="M278" s="7"/>
    </row>
    <row r="279" ht="22.5" customHeight="1">
      <c r="A279" s="4" t="s">
        <v>627</v>
      </c>
      <c r="B279" s="5">
        <v>109000.0</v>
      </c>
      <c r="C279" s="4" t="s">
        <v>11</v>
      </c>
      <c r="D279" s="6" t="s">
        <v>11</v>
      </c>
      <c r="E279" s="5">
        <v>1.0</v>
      </c>
      <c r="F279" s="4" t="s">
        <v>569</v>
      </c>
      <c r="G279" s="4" t="s">
        <v>115</v>
      </c>
      <c r="H279" s="4" t="s">
        <v>628</v>
      </c>
      <c r="I279" s="7"/>
      <c r="K279" s="4" t="s">
        <v>85</v>
      </c>
      <c r="L279" s="7">
        <f t="shared" si="1"/>
        <v>1</v>
      </c>
      <c r="M279" s="7"/>
    </row>
    <row r="280" ht="22.5" customHeight="1">
      <c r="A280" s="4" t="s">
        <v>629</v>
      </c>
      <c r="B280" s="5">
        <v>110000.0</v>
      </c>
      <c r="C280" s="4" t="s">
        <v>11</v>
      </c>
      <c r="D280" s="6" t="s">
        <v>11</v>
      </c>
      <c r="E280" s="5">
        <v>5.0</v>
      </c>
      <c r="F280" s="4" t="s">
        <v>569</v>
      </c>
      <c r="G280" s="4" t="s">
        <v>18</v>
      </c>
      <c r="H280" s="4" t="s">
        <v>630</v>
      </c>
      <c r="I280" s="7"/>
      <c r="K280" s="4" t="s">
        <v>88</v>
      </c>
      <c r="L280" s="7">
        <f t="shared" si="1"/>
        <v>1</v>
      </c>
      <c r="M280" s="7"/>
    </row>
    <row r="281" ht="22.5" customHeight="1">
      <c r="A281" s="4" t="s">
        <v>631</v>
      </c>
      <c r="B281" s="5">
        <v>117500.0</v>
      </c>
      <c r="C281" s="4" t="s">
        <v>11</v>
      </c>
      <c r="D281" s="6" t="s">
        <v>11</v>
      </c>
      <c r="E281" s="5">
        <v>6.0</v>
      </c>
      <c r="F281" s="4" t="s">
        <v>569</v>
      </c>
      <c r="G281" s="4" t="s">
        <v>45</v>
      </c>
      <c r="H281" s="4" t="s">
        <v>632</v>
      </c>
      <c r="I281" s="7"/>
      <c r="K281" s="4" t="s">
        <v>91</v>
      </c>
      <c r="L281" s="7">
        <f t="shared" si="1"/>
        <v>1</v>
      </c>
      <c r="M281" s="7"/>
    </row>
    <row r="282" ht="22.5" customHeight="1">
      <c r="A282" s="4" t="s">
        <v>633</v>
      </c>
      <c r="B282" s="5">
        <v>117832.0</v>
      </c>
      <c r="C282" s="4" t="s">
        <v>11</v>
      </c>
      <c r="D282" s="6" t="s">
        <v>11</v>
      </c>
      <c r="E282" s="5">
        <v>2.0</v>
      </c>
      <c r="F282" s="4" t="s">
        <v>569</v>
      </c>
      <c r="G282" s="4" t="s">
        <v>41</v>
      </c>
      <c r="H282" s="4" t="s">
        <v>634</v>
      </c>
      <c r="I282" s="7"/>
      <c r="K282" s="4" t="s">
        <v>27</v>
      </c>
      <c r="L282" s="7">
        <f t="shared" si="1"/>
        <v>7</v>
      </c>
      <c r="M282" s="7"/>
    </row>
    <row r="283" ht="22.5" customHeight="1">
      <c r="A283" s="4" t="s">
        <v>635</v>
      </c>
      <c r="B283" s="5">
        <v>118900.0</v>
      </c>
      <c r="C283" s="4" t="s">
        <v>11</v>
      </c>
      <c r="D283" s="6" t="s">
        <v>11</v>
      </c>
      <c r="E283" s="5">
        <v>13.0</v>
      </c>
      <c r="F283" s="4" t="s">
        <v>569</v>
      </c>
      <c r="G283" s="4" t="s">
        <v>41</v>
      </c>
      <c r="H283" s="4" t="s">
        <v>636</v>
      </c>
      <c r="I283" s="7"/>
      <c r="K283" s="4" t="s">
        <v>27</v>
      </c>
      <c r="L283" s="7">
        <f t="shared" si="1"/>
        <v>7</v>
      </c>
      <c r="M283" s="7"/>
    </row>
    <row r="284" ht="22.5" customHeight="1">
      <c r="A284" s="4" t="s">
        <v>637</v>
      </c>
      <c r="B284" s="5">
        <v>119900.0</v>
      </c>
      <c r="C284" s="4" t="s">
        <v>11</v>
      </c>
      <c r="D284" s="6" t="s">
        <v>11</v>
      </c>
      <c r="E284" s="5">
        <v>5.0</v>
      </c>
      <c r="F284" s="4" t="s">
        <v>569</v>
      </c>
      <c r="G284" s="4" t="s">
        <v>71</v>
      </c>
      <c r="H284" s="4" t="s">
        <v>638</v>
      </c>
      <c r="I284" s="7"/>
      <c r="K284" s="4" t="s">
        <v>27</v>
      </c>
      <c r="L284" s="7">
        <f t="shared" si="1"/>
        <v>7</v>
      </c>
      <c r="M284" s="7"/>
    </row>
    <row r="285" ht="22.5" customHeight="1">
      <c r="A285" s="4" t="s">
        <v>639</v>
      </c>
      <c r="B285" s="5">
        <v>120000.0</v>
      </c>
      <c r="C285" s="4" t="s">
        <v>11</v>
      </c>
      <c r="D285" s="6" t="s">
        <v>11</v>
      </c>
      <c r="E285" s="5">
        <v>4.0</v>
      </c>
      <c r="F285" s="4" t="s">
        <v>569</v>
      </c>
      <c r="G285" s="4" t="s">
        <v>49</v>
      </c>
      <c r="H285" s="4" t="s">
        <v>640</v>
      </c>
      <c r="I285" s="7"/>
      <c r="K285" s="4" t="s">
        <v>27</v>
      </c>
      <c r="L285" s="7">
        <f t="shared" si="1"/>
        <v>7</v>
      </c>
      <c r="M285" s="7"/>
    </row>
    <row r="286" ht="22.5" customHeight="1">
      <c r="A286" s="4" t="s">
        <v>641</v>
      </c>
      <c r="B286" s="5">
        <v>122094.0</v>
      </c>
      <c r="C286" s="4" t="s">
        <v>11</v>
      </c>
      <c r="D286" s="6" t="s">
        <v>11</v>
      </c>
      <c r="E286" s="5">
        <v>23.0</v>
      </c>
      <c r="F286" s="4" t="s">
        <v>569</v>
      </c>
      <c r="G286" s="4" t="s">
        <v>45</v>
      </c>
      <c r="H286" s="4" t="s">
        <v>642</v>
      </c>
      <c r="I286" s="7"/>
      <c r="K286" s="4" t="s">
        <v>27</v>
      </c>
      <c r="L286" s="7">
        <f t="shared" si="1"/>
        <v>7</v>
      </c>
      <c r="M286" s="7"/>
    </row>
    <row r="287" ht="22.5" customHeight="1">
      <c r="A287" s="4" t="s">
        <v>643</v>
      </c>
      <c r="B287" s="5">
        <v>123064.0</v>
      </c>
      <c r="C287" s="4" t="s">
        <v>11</v>
      </c>
      <c r="D287" s="6" t="s">
        <v>11</v>
      </c>
      <c r="E287" s="5">
        <v>5.0</v>
      </c>
      <c r="F287" s="4" t="s">
        <v>569</v>
      </c>
      <c r="G287" s="4" t="s">
        <v>12</v>
      </c>
      <c r="H287" s="4" t="s">
        <v>136</v>
      </c>
      <c r="I287" s="7"/>
      <c r="K287" s="4" t="s">
        <v>27</v>
      </c>
      <c r="L287" s="7">
        <f t="shared" si="1"/>
        <v>7</v>
      </c>
      <c r="M287" s="7"/>
    </row>
    <row r="288" ht="22.5" customHeight="1">
      <c r="A288" s="4" t="s">
        <v>644</v>
      </c>
      <c r="B288" s="5">
        <v>123945.0</v>
      </c>
      <c r="C288" s="4" t="s">
        <v>11</v>
      </c>
      <c r="D288" s="6" t="s">
        <v>11</v>
      </c>
      <c r="E288" s="5">
        <v>5.0</v>
      </c>
      <c r="F288" s="4" t="s">
        <v>569</v>
      </c>
      <c r="G288" s="4" t="s">
        <v>18</v>
      </c>
      <c r="H288" s="4" t="s">
        <v>645</v>
      </c>
      <c r="I288" s="7"/>
      <c r="K288" s="4" t="s">
        <v>27</v>
      </c>
      <c r="L288" s="7">
        <f t="shared" si="1"/>
        <v>7</v>
      </c>
      <c r="M288" s="7"/>
    </row>
    <row r="289" ht="22.5" customHeight="1">
      <c r="A289" s="4" t="s">
        <v>646</v>
      </c>
      <c r="B289" s="5">
        <v>125000.0</v>
      </c>
      <c r="C289" s="4" t="s">
        <v>11</v>
      </c>
      <c r="D289" s="6" t="s">
        <v>11</v>
      </c>
      <c r="E289" s="5">
        <v>12.0</v>
      </c>
      <c r="F289" s="4" t="s">
        <v>569</v>
      </c>
      <c r="G289" s="4" t="s">
        <v>41</v>
      </c>
      <c r="H289" s="4" t="s">
        <v>647</v>
      </c>
      <c r="I289" s="7"/>
      <c r="K289" s="4" t="s">
        <v>96</v>
      </c>
      <c r="L289" s="7">
        <f t="shared" si="1"/>
        <v>1</v>
      </c>
      <c r="M289" s="7"/>
    </row>
    <row r="290" ht="22.5" customHeight="1">
      <c r="A290" s="4" t="s">
        <v>648</v>
      </c>
      <c r="B290" s="5">
        <v>125000.0</v>
      </c>
      <c r="C290" s="4" t="s">
        <v>11</v>
      </c>
      <c r="D290" s="6" t="s">
        <v>11</v>
      </c>
      <c r="E290" s="5">
        <v>3.0</v>
      </c>
      <c r="F290" s="4" t="s">
        <v>569</v>
      </c>
      <c r="G290" s="4" t="s">
        <v>12</v>
      </c>
      <c r="H290" s="4" t="s">
        <v>649</v>
      </c>
      <c r="I290" s="7"/>
      <c r="K290" s="4" t="s">
        <v>99</v>
      </c>
      <c r="L290" s="7">
        <f t="shared" si="1"/>
        <v>1</v>
      </c>
      <c r="M290" s="7"/>
    </row>
    <row r="291" ht="22.5" customHeight="1">
      <c r="A291" s="4" t="s">
        <v>650</v>
      </c>
      <c r="B291" s="5">
        <v>126500.0</v>
      </c>
      <c r="C291" s="4" t="s">
        <v>11</v>
      </c>
      <c r="D291" s="6" t="s">
        <v>11</v>
      </c>
      <c r="E291" s="5">
        <v>43.0</v>
      </c>
      <c r="F291" s="4" t="s">
        <v>569</v>
      </c>
      <c r="G291" s="4" t="s">
        <v>23</v>
      </c>
      <c r="H291" s="4" t="s">
        <v>651</v>
      </c>
      <c r="I291" s="7"/>
      <c r="K291" s="4" t="s">
        <v>103</v>
      </c>
      <c r="L291" s="7">
        <f t="shared" si="1"/>
        <v>1</v>
      </c>
      <c r="M291" s="7"/>
    </row>
    <row r="292" ht="22.5" customHeight="1">
      <c r="A292" s="4" t="s">
        <v>652</v>
      </c>
      <c r="B292" s="5">
        <v>129650.0</v>
      </c>
      <c r="C292" s="4" t="s">
        <v>11</v>
      </c>
      <c r="D292" s="6" t="s">
        <v>11</v>
      </c>
      <c r="E292" s="5">
        <v>5.0</v>
      </c>
      <c r="F292" s="4" t="s">
        <v>569</v>
      </c>
      <c r="G292" s="4" t="s">
        <v>12</v>
      </c>
      <c r="H292" s="4" t="s">
        <v>136</v>
      </c>
      <c r="I292" s="7"/>
      <c r="K292" s="4" t="s">
        <v>106</v>
      </c>
      <c r="L292" s="7">
        <f t="shared" si="1"/>
        <v>3</v>
      </c>
      <c r="M292" s="7"/>
    </row>
    <row r="293" ht="22.5" customHeight="1">
      <c r="A293" s="4" t="s">
        <v>653</v>
      </c>
      <c r="B293" s="5">
        <v>129658.0</v>
      </c>
      <c r="C293" s="4" t="s">
        <v>11</v>
      </c>
      <c r="D293" s="6" t="s">
        <v>11</v>
      </c>
      <c r="E293" s="5">
        <v>21.0</v>
      </c>
      <c r="F293" s="4" t="s">
        <v>569</v>
      </c>
      <c r="G293" s="4" t="s">
        <v>41</v>
      </c>
      <c r="H293" s="4" t="s">
        <v>654</v>
      </c>
      <c r="I293" s="7"/>
      <c r="K293" s="4" t="s">
        <v>106</v>
      </c>
      <c r="L293" s="7">
        <f t="shared" si="1"/>
        <v>3</v>
      </c>
      <c r="M293" s="7"/>
    </row>
    <row r="294" ht="22.5" customHeight="1">
      <c r="A294" s="4" t="s">
        <v>655</v>
      </c>
      <c r="B294" s="5">
        <v>129900.0</v>
      </c>
      <c r="C294" s="4" t="s">
        <v>11</v>
      </c>
      <c r="D294" s="6" t="s">
        <v>11</v>
      </c>
      <c r="E294" s="5">
        <v>9.0</v>
      </c>
      <c r="F294" s="4" t="s">
        <v>569</v>
      </c>
      <c r="G294" s="4" t="s">
        <v>41</v>
      </c>
      <c r="H294" s="4" t="s">
        <v>656</v>
      </c>
      <c r="I294" s="7"/>
      <c r="K294" s="4" t="s">
        <v>106</v>
      </c>
      <c r="L294" s="7">
        <f t="shared" si="1"/>
        <v>3</v>
      </c>
      <c r="M294" s="7"/>
    </row>
    <row r="295" ht="22.5" customHeight="1">
      <c r="A295" s="4" t="s">
        <v>657</v>
      </c>
      <c r="B295" s="5">
        <v>130558.0</v>
      </c>
      <c r="C295" s="4" t="s">
        <v>11</v>
      </c>
      <c r="D295" s="6" t="s">
        <v>11</v>
      </c>
      <c r="E295" s="5">
        <v>5.0</v>
      </c>
      <c r="F295" s="4" t="s">
        <v>569</v>
      </c>
      <c r="G295" s="4" t="s">
        <v>134</v>
      </c>
      <c r="H295" s="4" t="s">
        <v>658</v>
      </c>
      <c r="I295" s="7"/>
      <c r="K295" s="4" t="s">
        <v>109</v>
      </c>
      <c r="L295" s="7">
        <f t="shared" si="1"/>
        <v>1</v>
      </c>
      <c r="M295" s="7"/>
    </row>
    <row r="296" ht="22.5" customHeight="1">
      <c r="A296" s="4" t="s">
        <v>659</v>
      </c>
      <c r="B296" s="5">
        <v>135000.0</v>
      </c>
      <c r="C296" s="4" t="s">
        <v>11</v>
      </c>
      <c r="D296" s="6" t="s">
        <v>11</v>
      </c>
      <c r="E296" s="5">
        <v>17.0</v>
      </c>
      <c r="F296" s="4" t="s">
        <v>569</v>
      </c>
      <c r="G296" s="4" t="s">
        <v>41</v>
      </c>
      <c r="H296" s="4" t="s">
        <v>660</v>
      </c>
      <c r="I296" s="7"/>
      <c r="K296" s="4" t="s">
        <v>112</v>
      </c>
      <c r="L296" s="7">
        <f t="shared" si="1"/>
        <v>1</v>
      </c>
      <c r="M296" s="7"/>
    </row>
    <row r="297" ht="22.5" customHeight="1">
      <c r="A297" s="4" t="s">
        <v>661</v>
      </c>
      <c r="B297" s="5">
        <v>139858.0</v>
      </c>
      <c r="C297" s="4" t="s">
        <v>11</v>
      </c>
      <c r="D297" s="6" t="s">
        <v>11</v>
      </c>
      <c r="E297" s="5">
        <v>102.0</v>
      </c>
      <c r="F297" s="4" t="s">
        <v>569</v>
      </c>
      <c r="G297" s="4" t="s">
        <v>41</v>
      </c>
      <c r="H297" s="4" t="s">
        <v>662</v>
      </c>
      <c r="I297" s="7"/>
      <c r="K297" s="4" t="s">
        <v>117</v>
      </c>
      <c r="L297" s="7">
        <f t="shared" si="1"/>
        <v>4</v>
      </c>
      <c r="M297" s="7"/>
    </row>
    <row r="298" ht="22.5" customHeight="1">
      <c r="A298" s="4" t="s">
        <v>663</v>
      </c>
      <c r="B298" s="5">
        <v>140000.0</v>
      </c>
      <c r="C298" s="4" t="s">
        <v>11</v>
      </c>
      <c r="D298" s="6" t="s">
        <v>11</v>
      </c>
      <c r="E298" s="5">
        <v>89.0</v>
      </c>
      <c r="F298" s="4" t="s">
        <v>569</v>
      </c>
      <c r="G298" s="4" t="s">
        <v>41</v>
      </c>
      <c r="H298" s="4" t="s">
        <v>664</v>
      </c>
      <c r="I298" s="7"/>
      <c r="K298" s="4" t="s">
        <v>117</v>
      </c>
      <c r="L298" s="7">
        <f t="shared" si="1"/>
        <v>4</v>
      </c>
      <c r="M298" s="7"/>
    </row>
    <row r="299" ht="22.5" customHeight="1">
      <c r="A299" s="4" t="s">
        <v>665</v>
      </c>
      <c r="B299" s="5">
        <v>140000.0</v>
      </c>
      <c r="C299" s="4" t="s">
        <v>11</v>
      </c>
      <c r="D299" s="6" t="s">
        <v>11</v>
      </c>
      <c r="E299" s="5">
        <v>38.0</v>
      </c>
      <c r="F299" s="4" t="s">
        <v>569</v>
      </c>
      <c r="G299" s="4" t="s">
        <v>150</v>
      </c>
      <c r="H299" s="4" t="s">
        <v>666</v>
      </c>
      <c r="I299" s="7"/>
      <c r="K299" s="4" t="s">
        <v>117</v>
      </c>
      <c r="L299" s="7">
        <f t="shared" si="1"/>
        <v>4</v>
      </c>
      <c r="M299" s="7"/>
    </row>
    <row r="300" ht="22.5" customHeight="1">
      <c r="A300" s="4" t="s">
        <v>667</v>
      </c>
      <c r="B300" s="5">
        <v>149650.0</v>
      </c>
      <c r="C300" s="4" t="s">
        <v>11</v>
      </c>
      <c r="D300" s="6" t="s">
        <v>11</v>
      </c>
      <c r="E300" s="5">
        <v>51.0</v>
      </c>
      <c r="F300" s="4" t="s">
        <v>569</v>
      </c>
      <c r="G300" s="4" t="s">
        <v>41</v>
      </c>
      <c r="H300" s="4" t="s">
        <v>668</v>
      </c>
      <c r="I300" s="7"/>
      <c r="K300" s="4" t="s">
        <v>117</v>
      </c>
      <c r="L300" s="7">
        <f t="shared" si="1"/>
        <v>4</v>
      </c>
      <c r="M300" s="7"/>
    </row>
    <row r="301" ht="22.5" customHeight="1">
      <c r="A301" s="4" t="s">
        <v>669</v>
      </c>
      <c r="B301" s="5">
        <v>150000.0</v>
      </c>
      <c r="C301" s="4" t="s">
        <v>11</v>
      </c>
      <c r="D301" s="6" t="s">
        <v>11</v>
      </c>
      <c r="E301" s="5">
        <v>1.0</v>
      </c>
      <c r="F301" s="4" t="s">
        <v>569</v>
      </c>
      <c r="G301" s="4" t="s">
        <v>106</v>
      </c>
      <c r="H301" s="4" t="s">
        <v>670</v>
      </c>
      <c r="I301" s="7"/>
      <c r="K301" s="4" t="s">
        <v>71</v>
      </c>
      <c r="L301" s="7">
        <f t="shared" si="1"/>
        <v>5</v>
      </c>
      <c r="M301" s="7"/>
    </row>
    <row r="302" ht="22.5" customHeight="1">
      <c r="A302" s="4" t="s">
        <v>671</v>
      </c>
      <c r="B302" s="5">
        <v>156000.0</v>
      </c>
      <c r="C302" s="4" t="s">
        <v>11</v>
      </c>
      <c r="D302" s="6" t="s">
        <v>11</v>
      </c>
      <c r="E302" s="5">
        <v>1.0</v>
      </c>
      <c r="F302" s="4" t="s">
        <v>569</v>
      </c>
      <c r="G302" s="4" t="s">
        <v>18</v>
      </c>
      <c r="H302" s="4" t="s">
        <v>672</v>
      </c>
      <c r="I302" s="7"/>
      <c r="K302" s="4" t="s">
        <v>71</v>
      </c>
      <c r="L302" s="7">
        <f t="shared" si="1"/>
        <v>5</v>
      </c>
      <c r="M302" s="7"/>
    </row>
    <row r="303" ht="22.5" customHeight="1">
      <c r="A303" s="4" t="s">
        <v>673</v>
      </c>
      <c r="B303" s="5">
        <v>156400.0</v>
      </c>
      <c r="C303" s="4" t="s">
        <v>11</v>
      </c>
      <c r="D303" s="6" t="s">
        <v>11</v>
      </c>
      <c r="E303" s="5">
        <v>2.0</v>
      </c>
      <c r="F303" s="4" t="s">
        <v>569</v>
      </c>
      <c r="G303" s="4" t="s">
        <v>18</v>
      </c>
      <c r="H303" s="4" t="s">
        <v>674</v>
      </c>
      <c r="I303" s="7"/>
      <c r="K303" s="4" t="s">
        <v>71</v>
      </c>
      <c r="L303" s="7">
        <f t="shared" si="1"/>
        <v>5</v>
      </c>
      <c r="M303" s="7"/>
    </row>
    <row r="304" ht="22.5" customHeight="1">
      <c r="A304" s="4" t="s">
        <v>675</v>
      </c>
      <c r="B304" s="5">
        <v>157500.0</v>
      </c>
      <c r="C304" s="4" t="s">
        <v>11</v>
      </c>
      <c r="D304" s="6" t="s">
        <v>11</v>
      </c>
      <c r="E304" s="5">
        <v>1.0</v>
      </c>
      <c r="F304" s="4" t="s">
        <v>569</v>
      </c>
      <c r="G304" s="4" t="s">
        <v>41</v>
      </c>
      <c r="H304" s="4" t="s">
        <v>676</v>
      </c>
      <c r="I304" s="7"/>
      <c r="K304" s="4" t="s">
        <v>71</v>
      </c>
      <c r="L304" s="7">
        <f t="shared" si="1"/>
        <v>5</v>
      </c>
      <c r="M304" s="7"/>
    </row>
    <row r="305" ht="22.5" customHeight="1">
      <c r="A305" s="4" t="s">
        <v>677</v>
      </c>
      <c r="B305" s="5">
        <v>161500.0</v>
      </c>
      <c r="C305" s="4" t="s">
        <v>11</v>
      </c>
      <c r="D305" s="6" t="s">
        <v>11</v>
      </c>
      <c r="E305" s="5">
        <v>13.0</v>
      </c>
      <c r="F305" s="4" t="s">
        <v>569</v>
      </c>
      <c r="G305" s="4" t="s">
        <v>147</v>
      </c>
      <c r="H305" s="4" t="s">
        <v>678</v>
      </c>
      <c r="I305" s="7"/>
      <c r="K305" s="4" t="s">
        <v>71</v>
      </c>
      <c r="L305" s="7">
        <f t="shared" si="1"/>
        <v>5</v>
      </c>
      <c r="M305" s="7"/>
    </row>
    <row r="306" ht="22.5" customHeight="1">
      <c r="A306" s="4" t="s">
        <v>679</v>
      </c>
      <c r="B306" s="5">
        <v>168000.0</v>
      </c>
      <c r="C306" s="4" t="s">
        <v>11</v>
      </c>
      <c r="D306" s="6" t="s">
        <v>11</v>
      </c>
      <c r="E306" s="5">
        <v>40.0</v>
      </c>
      <c r="F306" s="4" t="s">
        <v>569</v>
      </c>
      <c r="G306" s="4" t="s">
        <v>103</v>
      </c>
      <c r="H306" s="4" t="s">
        <v>680</v>
      </c>
      <c r="I306" s="7"/>
      <c r="K306" s="4" t="s">
        <v>31</v>
      </c>
      <c r="L306" s="7">
        <f t="shared" si="1"/>
        <v>1</v>
      </c>
      <c r="M306" s="7"/>
    </row>
    <row r="307" ht="22.5" customHeight="1">
      <c r="A307" s="4" t="s">
        <v>681</v>
      </c>
      <c r="B307" s="5">
        <v>170000.0</v>
      </c>
      <c r="C307" s="4" t="s">
        <v>11</v>
      </c>
      <c r="D307" s="6" t="s">
        <v>11</v>
      </c>
      <c r="E307" s="5">
        <v>7.0</v>
      </c>
      <c r="F307" s="4" t="s">
        <v>569</v>
      </c>
      <c r="G307" s="4" t="s">
        <v>29</v>
      </c>
      <c r="H307" s="4" t="s">
        <v>682</v>
      </c>
      <c r="I307" s="7"/>
      <c r="K307" s="4" t="s">
        <v>23</v>
      </c>
      <c r="L307" s="7">
        <f t="shared" si="1"/>
        <v>3</v>
      </c>
      <c r="M307" s="7"/>
    </row>
    <row r="308" ht="22.5" customHeight="1">
      <c r="A308" s="4" t="s">
        <v>683</v>
      </c>
      <c r="B308" s="5">
        <v>175000.0</v>
      </c>
      <c r="C308" s="4" t="s">
        <v>11</v>
      </c>
      <c r="D308" s="6" t="s">
        <v>11</v>
      </c>
      <c r="E308" s="5">
        <v>9.0</v>
      </c>
      <c r="F308" s="4" t="s">
        <v>569</v>
      </c>
      <c r="G308" s="4" t="s">
        <v>83</v>
      </c>
      <c r="H308" s="4" t="s">
        <v>684</v>
      </c>
      <c r="I308" s="7"/>
      <c r="K308" s="4" t="s">
        <v>23</v>
      </c>
      <c r="L308" s="7">
        <f t="shared" si="1"/>
        <v>3</v>
      </c>
      <c r="M308" s="7"/>
    </row>
    <row r="309" ht="22.5" customHeight="1">
      <c r="A309" s="4" t="s">
        <v>685</v>
      </c>
      <c r="B309" s="5">
        <v>179500.0</v>
      </c>
      <c r="C309" s="4" t="s">
        <v>11</v>
      </c>
      <c r="D309" s="6" t="s">
        <v>11</v>
      </c>
      <c r="E309" s="5">
        <v>11.0</v>
      </c>
      <c r="F309" s="4" t="s">
        <v>569</v>
      </c>
      <c r="G309" s="4" t="s">
        <v>66</v>
      </c>
      <c r="H309" s="4" t="s">
        <v>686</v>
      </c>
      <c r="I309" s="7"/>
      <c r="K309" s="4" t="s">
        <v>23</v>
      </c>
      <c r="L309" s="7">
        <f t="shared" si="1"/>
        <v>3</v>
      </c>
      <c r="M309" s="7"/>
    </row>
    <row r="310" ht="22.5" customHeight="1">
      <c r="A310" s="4" t="s">
        <v>687</v>
      </c>
      <c r="B310" s="5">
        <v>180000.0</v>
      </c>
      <c r="C310" s="4" t="s">
        <v>11</v>
      </c>
      <c r="D310" s="6" t="s">
        <v>11</v>
      </c>
      <c r="E310" s="5">
        <v>5.0</v>
      </c>
      <c r="F310" s="4" t="s">
        <v>569</v>
      </c>
      <c r="G310" s="4" t="s">
        <v>57</v>
      </c>
      <c r="H310" s="4" t="s">
        <v>395</v>
      </c>
      <c r="I310" s="7"/>
      <c r="K310" s="4" t="s">
        <v>66</v>
      </c>
      <c r="L310" s="7">
        <f t="shared" si="1"/>
        <v>163</v>
      </c>
      <c r="M310" s="7"/>
    </row>
    <row r="311" ht="22.5" customHeight="1">
      <c r="A311" s="4" t="s">
        <v>688</v>
      </c>
      <c r="B311" s="5">
        <v>180900.0</v>
      </c>
      <c r="C311" s="4" t="s">
        <v>11</v>
      </c>
      <c r="D311" s="6" t="s">
        <v>11</v>
      </c>
      <c r="E311" s="5">
        <v>9.0</v>
      </c>
      <c r="F311" s="4" t="s">
        <v>569</v>
      </c>
      <c r="G311" s="4" t="s">
        <v>35</v>
      </c>
      <c r="H311" s="4" t="s">
        <v>689</v>
      </c>
      <c r="I311" s="7"/>
      <c r="K311" s="4" t="s">
        <v>66</v>
      </c>
      <c r="L311" s="7">
        <f t="shared" si="1"/>
        <v>163</v>
      </c>
      <c r="M311" s="7"/>
    </row>
    <row r="312" ht="22.5" customHeight="1">
      <c r="A312" s="4" t="s">
        <v>690</v>
      </c>
      <c r="B312" s="5">
        <v>182000.0</v>
      </c>
      <c r="C312" s="4" t="s">
        <v>11</v>
      </c>
      <c r="D312" s="6" t="s">
        <v>11</v>
      </c>
      <c r="E312" s="5">
        <v>14.0</v>
      </c>
      <c r="F312" s="4" t="s">
        <v>569</v>
      </c>
      <c r="G312" s="4" t="s">
        <v>18</v>
      </c>
      <c r="H312" s="4" t="s">
        <v>691</v>
      </c>
      <c r="I312" s="7"/>
      <c r="K312" s="4" t="s">
        <v>66</v>
      </c>
      <c r="L312" s="7">
        <f t="shared" si="1"/>
        <v>163</v>
      </c>
      <c r="M312" s="7"/>
    </row>
    <row r="313" ht="22.5" customHeight="1">
      <c r="A313" s="4" t="s">
        <v>692</v>
      </c>
      <c r="B313" s="5">
        <v>184500.0</v>
      </c>
      <c r="C313" s="4" t="s">
        <v>11</v>
      </c>
      <c r="D313" s="6" t="s">
        <v>11</v>
      </c>
      <c r="E313" s="5">
        <v>2.0</v>
      </c>
      <c r="F313" s="4" t="s">
        <v>569</v>
      </c>
      <c r="G313" s="4" t="s">
        <v>21</v>
      </c>
      <c r="H313" s="4" t="s">
        <v>693</v>
      </c>
      <c r="I313" s="7"/>
      <c r="K313" s="4" t="s">
        <v>66</v>
      </c>
      <c r="L313" s="7">
        <f t="shared" si="1"/>
        <v>163</v>
      </c>
      <c r="M313" s="7"/>
    </row>
    <row r="314" ht="22.5" customHeight="1">
      <c r="A314" s="4" t="s">
        <v>694</v>
      </c>
      <c r="B314" s="5">
        <v>200508.0</v>
      </c>
      <c r="C314" s="4" t="s">
        <v>11</v>
      </c>
      <c r="D314" s="6" t="s">
        <v>11</v>
      </c>
      <c r="E314" s="5">
        <v>1.0</v>
      </c>
      <c r="F314" s="4" t="s">
        <v>569</v>
      </c>
      <c r="G314" s="4" t="s">
        <v>57</v>
      </c>
      <c r="H314" s="4" t="s">
        <v>695</v>
      </c>
      <c r="I314" s="7"/>
      <c r="K314" s="4" t="s">
        <v>66</v>
      </c>
      <c r="L314" s="7">
        <f t="shared" si="1"/>
        <v>163</v>
      </c>
      <c r="M314" s="7"/>
    </row>
    <row r="315" ht="22.5" customHeight="1">
      <c r="A315" s="4" t="s">
        <v>535</v>
      </c>
      <c r="B315" s="5">
        <v>206000.0</v>
      </c>
      <c r="C315" s="4" t="s">
        <v>11</v>
      </c>
      <c r="D315" s="6" t="s">
        <v>11</v>
      </c>
      <c r="E315" s="5">
        <v>22.0</v>
      </c>
      <c r="F315" s="4" t="s">
        <v>569</v>
      </c>
      <c r="G315" s="4" t="s">
        <v>53</v>
      </c>
      <c r="H315" s="4" t="s">
        <v>696</v>
      </c>
      <c r="I315" s="7"/>
      <c r="K315" s="4" t="s">
        <v>66</v>
      </c>
      <c r="L315" s="7">
        <f t="shared" si="1"/>
        <v>163</v>
      </c>
      <c r="M315" s="7"/>
    </row>
    <row r="316" ht="22.5" customHeight="1">
      <c r="A316" s="4" t="s">
        <v>697</v>
      </c>
      <c r="B316" s="5">
        <v>215000.0</v>
      </c>
      <c r="C316" s="4" t="s">
        <v>11</v>
      </c>
      <c r="D316" s="6" t="s">
        <v>11</v>
      </c>
      <c r="E316" s="5">
        <v>3.0</v>
      </c>
      <c r="F316" s="4" t="s">
        <v>569</v>
      </c>
      <c r="G316" s="4" t="s">
        <v>41</v>
      </c>
      <c r="H316" s="4" t="s">
        <v>698</v>
      </c>
      <c r="I316" s="7"/>
      <c r="K316" s="4" t="s">
        <v>66</v>
      </c>
      <c r="L316" s="7">
        <f t="shared" si="1"/>
        <v>163</v>
      </c>
      <c r="M316" s="7"/>
    </row>
    <row r="317" ht="22.5" customHeight="1">
      <c r="A317" s="4" t="s">
        <v>699</v>
      </c>
      <c r="B317" s="5">
        <v>225500.0</v>
      </c>
      <c r="C317" s="4" t="s">
        <v>11</v>
      </c>
      <c r="D317" s="6" t="s">
        <v>11</v>
      </c>
      <c r="E317" s="5">
        <v>4.0</v>
      </c>
      <c r="F317" s="4" t="s">
        <v>569</v>
      </c>
      <c r="G317" s="4" t="s">
        <v>134</v>
      </c>
      <c r="H317" s="4" t="s">
        <v>700</v>
      </c>
      <c r="I317" s="7"/>
      <c r="K317" s="4" t="s">
        <v>66</v>
      </c>
      <c r="L317" s="7">
        <f t="shared" si="1"/>
        <v>163</v>
      </c>
      <c r="M317" s="7"/>
    </row>
    <row r="318" ht="22.5" customHeight="1">
      <c r="A318" s="4" t="s">
        <v>701</v>
      </c>
      <c r="B318" s="5">
        <v>237639.0</v>
      </c>
      <c r="C318" s="4" t="s">
        <v>11</v>
      </c>
      <c r="D318" s="6" t="s">
        <v>11</v>
      </c>
      <c r="E318" s="5">
        <v>20.0</v>
      </c>
      <c r="F318" s="4" t="s">
        <v>569</v>
      </c>
      <c r="G318" s="4" t="s">
        <v>41</v>
      </c>
      <c r="H318" s="4" t="s">
        <v>702</v>
      </c>
      <c r="I318" s="7"/>
      <c r="K318" s="4" t="s">
        <v>66</v>
      </c>
      <c r="L318" s="7">
        <f t="shared" si="1"/>
        <v>163</v>
      </c>
      <c r="M318" s="7"/>
    </row>
    <row r="319" ht="22.5" customHeight="1">
      <c r="A319" s="4" t="s">
        <v>703</v>
      </c>
      <c r="B319" s="5">
        <v>237800.0</v>
      </c>
      <c r="C319" s="4" t="s">
        <v>11</v>
      </c>
      <c r="D319" s="6" t="s">
        <v>11</v>
      </c>
      <c r="E319" s="5">
        <v>3.0</v>
      </c>
      <c r="F319" s="4" t="s">
        <v>569</v>
      </c>
      <c r="G319" s="4" t="s">
        <v>83</v>
      </c>
      <c r="H319" s="4" t="s">
        <v>704</v>
      </c>
      <c r="I319" s="7"/>
      <c r="K319" s="4" t="s">
        <v>66</v>
      </c>
      <c r="L319" s="7">
        <f t="shared" si="1"/>
        <v>163</v>
      </c>
      <c r="M319" s="7"/>
    </row>
    <row r="320" ht="22.5" customHeight="1">
      <c r="A320" s="4" t="s">
        <v>705</v>
      </c>
      <c r="B320" s="5">
        <v>243050.0</v>
      </c>
      <c r="C320" s="4" t="s">
        <v>11</v>
      </c>
      <c r="D320" s="6" t="s">
        <v>11</v>
      </c>
      <c r="E320" s="5">
        <v>1.0</v>
      </c>
      <c r="F320" s="4" t="s">
        <v>569</v>
      </c>
      <c r="G320" s="4" t="s">
        <v>61</v>
      </c>
      <c r="H320" s="4" t="s">
        <v>706</v>
      </c>
      <c r="I320" s="7"/>
      <c r="K320" s="4" t="s">
        <v>66</v>
      </c>
      <c r="L320" s="7">
        <f t="shared" si="1"/>
        <v>163</v>
      </c>
      <c r="M320" s="7"/>
    </row>
    <row r="321" ht="22.5" customHeight="1">
      <c r="A321" s="4" t="s">
        <v>707</v>
      </c>
      <c r="B321" s="5">
        <v>243100.0</v>
      </c>
      <c r="C321" s="4" t="s">
        <v>11</v>
      </c>
      <c r="D321" s="6" t="s">
        <v>11</v>
      </c>
      <c r="E321" s="5">
        <v>1.0</v>
      </c>
      <c r="F321" s="4" t="s">
        <v>569</v>
      </c>
      <c r="G321" s="4" t="s">
        <v>12</v>
      </c>
      <c r="H321" s="4" t="s">
        <v>708</v>
      </c>
      <c r="I321" s="7"/>
      <c r="K321" s="4" t="s">
        <v>66</v>
      </c>
      <c r="L321" s="7">
        <f t="shared" si="1"/>
        <v>163</v>
      </c>
      <c r="M321" s="7"/>
    </row>
    <row r="322" ht="22.5" customHeight="1">
      <c r="A322" s="4" t="s">
        <v>709</v>
      </c>
      <c r="B322" s="5">
        <v>250000.0</v>
      </c>
      <c r="C322" s="4" t="s">
        <v>11</v>
      </c>
      <c r="D322" s="6" t="s">
        <v>11</v>
      </c>
      <c r="E322" s="5">
        <v>15.0</v>
      </c>
      <c r="F322" s="4" t="s">
        <v>569</v>
      </c>
      <c r="G322" s="4" t="s">
        <v>18</v>
      </c>
      <c r="H322" s="4" t="s">
        <v>710</v>
      </c>
      <c r="I322" s="7"/>
      <c r="K322" s="4" t="s">
        <v>66</v>
      </c>
      <c r="L322" s="7">
        <f t="shared" si="1"/>
        <v>163</v>
      </c>
      <c r="M322" s="7"/>
    </row>
    <row r="323" ht="22.5" customHeight="1">
      <c r="A323" s="4" t="s">
        <v>711</v>
      </c>
      <c r="B323" s="5">
        <v>250800.0</v>
      </c>
      <c r="C323" s="4" t="s">
        <v>11</v>
      </c>
      <c r="D323" s="6" t="s">
        <v>11</v>
      </c>
      <c r="E323" s="5">
        <v>2.0</v>
      </c>
      <c r="F323" s="4" t="s">
        <v>569</v>
      </c>
      <c r="G323" s="4" t="s">
        <v>35</v>
      </c>
      <c r="H323" s="4" t="s">
        <v>712</v>
      </c>
      <c r="I323" s="7"/>
      <c r="K323" s="4" t="s">
        <v>66</v>
      </c>
      <c r="L323" s="7">
        <f t="shared" si="1"/>
        <v>163</v>
      </c>
      <c r="M323" s="7"/>
    </row>
    <row r="324" ht="22.5" customHeight="1">
      <c r="A324" s="4" t="s">
        <v>713</v>
      </c>
      <c r="B324" s="5">
        <v>252000.0</v>
      </c>
      <c r="C324" s="4" t="s">
        <v>11</v>
      </c>
      <c r="D324" s="6" t="s">
        <v>11</v>
      </c>
      <c r="E324" s="5">
        <v>4.0</v>
      </c>
      <c r="F324" s="4" t="s">
        <v>569</v>
      </c>
      <c r="G324" s="4" t="s">
        <v>66</v>
      </c>
      <c r="H324" s="4" t="s">
        <v>714</v>
      </c>
      <c r="I324" s="7"/>
      <c r="K324" s="4" t="s">
        <v>66</v>
      </c>
      <c r="L324" s="7">
        <f t="shared" si="1"/>
        <v>163</v>
      </c>
      <c r="M324" s="7"/>
    </row>
    <row r="325" ht="22.5" customHeight="1">
      <c r="A325" s="4" t="s">
        <v>715</v>
      </c>
      <c r="B325" s="5">
        <v>260000.0</v>
      </c>
      <c r="C325" s="4" t="s">
        <v>11</v>
      </c>
      <c r="D325" s="6" t="s">
        <v>11</v>
      </c>
      <c r="E325" s="5">
        <v>9.0</v>
      </c>
      <c r="F325" s="4" t="s">
        <v>569</v>
      </c>
      <c r="G325" s="4" t="s">
        <v>37</v>
      </c>
      <c r="H325" s="4" t="s">
        <v>716</v>
      </c>
      <c r="I325" s="7"/>
      <c r="K325" s="4" t="s">
        <v>66</v>
      </c>
      <c r="L325" s="7">
        <f t="shared" si="1"/>
        <v>163</v>
      </c>
      <c r="M325" s="7"/>
    </row>
    <row r="326" ht="22.5" customHeight="1">
      <c r="A326" s="4" t="s">
        <v>717</v>
      </c>
      <c r="B326" s="5">
        <v>267365.0</v>
      </c>
      <c r="C326" s="4" t="s">
        <v>11</v>
      </c>
      <c r="D326" s="6" t="s">
        <v>11</v>
      </c>
      <c r="E326" s="5">
        <v>5.0</v>
      </c>
      <c r="F326" s="4" t="s">
        <v>569</v>
      </c>
      <c r="G326" s="4" t="s">
        <v>106</v>
      </c>
      <c r="H326" s="4" t="s">
        <v>718</v>
      </c>
      <c r="I326" s="7"/>
      <c r="K326" s="4" t="s">
        <v>66</v>
      </c>
      <c r="L326" s="7">
        <f t="shared" si="1"/>
        <v>163</v>
      </c>
      <c r="M326" s="7"/>
    </row>
    <row r="327" ht="22.5" customHeight="1">
      <c r="A327" s="4" t="s">
        <v>719</v>
      </c>
      <c r="B327" s="5">
        <v>270000.0</v>
      </c>
      <c r="C327" s="4" t="s">
        <v>11</v>
      </c>
      <c r="D327" s="6" t="s">
        <v>11</v>
      </c>
      <c r="E327" s="5">
        <v>4.0</v>
      </c>
      <c r="F327" s="4" t="s">
        <v>569</v>
      </c>
      <c r="G327" s="4" t="s">
        <v>16</v>
      </c>
      <c r="H327" s="4" t="s">
        <v>720</v>
      </c>
      <c r="I327" s="7"/>
      <c r="K327" s="4" t="s">
        <v>66</v>
      </c>
      <c r="L327" s="7">
        <f t="shared" si="1"/>
        <v>163</v>
      </c>
      <c r="M327" s="7"/>
    </row>
    <row r="328" ht="22.5" customHeight="1">
      <c r="A328" s="4" t="s">
        <v>721</v>
      </c>
      <c r="B328" s="5">
        <v>273000.0</v>
      </c>
      <c r="C328" s="4" t="s">
        <v>11</v>
      </c>
      <c r="D328" s="6" t="s">
        <v>11</v>
      </c>
      <c r="E328" s="5">
        <v>2.0</v>
      </c>
      <c r="F328" s="4" t="s">
        <v>569</v>
      </c>
      <c r="G328" s="4" t="s">
        <v>41</v>
      </c>
      <c r="H328" s="4" t="s">
        <v>722</v>
      </c>
      <c r="I328" s="7"/>
      <c r="K328" s="4" t="s">
        <v>66</v>
      </c>
      <c r="L328" s="7">
        <f t="shared" si="1"/>
        <v>163</v>
      </c>
      <c r="M328" s="7"/>
    </row>
    <row r="329" ht="22.5" customHeight="1">
      <c r="A329" s="4" t="s">
        <v>723</v>
      </c>
      <c r="B329" s="5">
        <v>284000.0</v>
      </c>
      <c r="C329" s="4" t="s">
        <v>11</v>
      </c>
      <c r="D329" s="6" t="s">
        <v>11</v>
      </c>
      <c r="E329" s="5">
        <v>10.0</v>
      </c>
      <c r="F329" s="4" t="s">
        <v>569</v>
      </c>
      <c r="G329" s="4" t="s">
        <v>66</v>
      </c>
      <c r="H329" s="4" t="s">
        <v>724</v>
      </c>
      <c r="I329" s="7"/>
      <c r="K329" s="4" t="s">
        <v>66</v>
      </c>
      <c r="L329" s="7">
        <f t="shared" si="1"/>
        <v>163</v>
      </c>
      <c r="M329" s="7"/>
    </row>
    <row r="330" ht="22.5" customHeight="1">
      <c r="A330" s="4" t="s">
        <v>725</v>
      </c>
      <c r="B330" s="5">
        <v>287100.0</v>
      </c>
      <c r="C330" s="4" t="s">
        <v>11</v>
      </c>
      <c r="D330" s="6" t="s">
        <v>11</v>
      </c>
      <c r="E330" s="5">
        <v>48.0</v>
      </c>
      <c r="F330" s="4" t="s">
        <v>569</v>
      </c>
      <c r="G330" s="4" t="s">
        <v>64</v>
      </c>
      <c r="H330" s="4" t="s">
        <v>726</v>
      </c>
      <c r="I330" s="7"/>
      <c r="K330" s="4" t="s">
        <v>66</v>
      </c>
      <c r="L330" s="7">
        <f t="shared" si="1"/>
        <v>163</v>
      </c>
      <c r="M330" s="7"/>
    </row>
    <row r="331" ht="22.5" customHeight="1">
      <c r="A331" s="4" t="s">
        <v>727</v>
      </c>
      <c r="B331" s="5">
        <v>290000.0</v>
      </c>
      <c r="C331" s="4" t="s">
        <v>11</v>
      </c>
      <c r="D331" s="6" t="s">
        <v>11</v>
      </c>
      <c r="E331" s="5">
        <v>2.0</v>
      </c>
      <c r="F331" s="4" t="s">
        <v>569</v>
      </c>
      <c r="G331" s="4" t="s">
        <v>16</v>
      </c>
      <c r="H331" s="4" t="s">
        <v>728</v>
      </c>
      <c r="I331" s="7"/>
      <c r="K331" s="4" t="s">
        <v>66</v>
      </c>
      <c r="L331" s="7">
        <f t="shared" si="1"/>
        <v>163</v>
      </c>
      <c r="M331" s="7"/>
    </row>
    <row r="332" ht="22.5" customHeight="1">
      <c r="A332" s="4" t="s">
        <v>729</v>
      </c>
      <c r="B332" s="5">
        <v>295000.0</v>
      </c>
      <c r="C332" s="4" t="s">
        <v>11</v>
      </c>
      <c r="D332" s="6" t="s">
        <v>11</v>
      </c>
      <c r="E332" s="5">
        <v>1.0</v>
      </c>
      <c r="F332" s="4" t="s">
        <v>569</v>
      </c>
      <c r="G332" s="4" t="s">
        <v>109</v>
      </c>
      <c r="H332" s="4" t="s">
        <v>730</v>
      </c>
      <c r="I332" s="7"/>
      <c r="K332" s="4" t="s">
        <v>66</v>
      </c>
      <c r="L332" s="7">
        <f t="shared" si="1"/>
        <v>163</v>
      </c>
      <c r="M332" s="7"/>
    </row>
    <row r="333" ht="22.5" customHeight="1">
      <c r="A333" s="4" t="s">
        <v>731</v>
      </c>
      <c r="B333" s="5">
        <v>295000.0</v>
      </c>
      <c r="C333" s="4" t="s">
        <v>11</v>
      </c>
      <c r="D333" s="6" t="s">
        <v>11</v>
      </c>
      <c r="E333" s="5">
        <v>25.0</v>
      </c>
      <c r="F333" s="4" t="s">
        <v>569</v>
      </c>
      <c r="G333" s="4" t="s">
        <v>131</v>
      </c>
      <c r="H333" s="4" t="s">
        <v>732</v>
      </c>
      <c r="I333" s="7"/>
      <c r="K333" s="4" t="s">
        <v>66</v>
      </c>
      <c r="L333" s="7">
        <f t="shared" si="1"/>
        <v>163</v>
      </c>
      <c r="M333" s="7"/>
    </row>
    <row r="334" ht="22.5" customHeight="1">
      <c r="A334" s="4" t="s">
        <v>733</v>
      </c>
      <c r="B334" s="5">
        <v>300000.0</v>
      </c>
      <c r="C334" s="4" t="s">
        <v>11</v>
      </c>
      <c r="D334" s="6" t="s">
        <v>11</v>
      </c>
      <c r="E334" s="5">
        <v>1.0</v>
      </c>
      <c r="F334" s="4" t="s">
        <v>569</v>
      </c>
      <c r="G334" s="4" t="s">
        <v>16</v>
      </c>
      <c r="H334" s="4" t="s">
        <v>734</v>
      </c>
      <c r="I334" s="7"/>
      <c r="K334" s="4" t="s">
        <v>66</v>
      </c>
      <c r="L334" s="7">
        <f t="shared" si="1"/>
        <v>163</v>
      </c>
      <c r="M334" s="7"/>
    </row>
    <row r="335" ht="22.5" customHeight="1">
      <c r="A335" s="4" t="s">
        <v>735</v>
      </c>
      <c r="B335" s="5">
        <v>305000.0</v>
      </c>
      <c r="C335" s="4" t="s">
        <v>11</v>
      </c>
      <c r="D335" s="6" t="s">
        <v>11</v>
      </c>
      <c r="E335" s="5">
        <v>1.0</v>
      </c>
      <c r="F335" s="4" t="s">
        <v>569</v>
      </c>
      <c r="G335" s="4" t="s">
        <v>37</v>
      </c>
      <c r="H335" s="4" t="s">
        <v>736</v>
      </c>
      <c r="I335" s="7"/>
      <c r="K335" s="4" t="s">
        <v>66</v>
      </c>
      <c r="L335" s="7">
        <f t="shared" si="1"/>
        <v>163</v>
      </c>
      <c r="M335" s="7"/>
    </row>
    <row r="336" ht="22.5" customHeight="1">
      <c r="A336" s="4" t="s">
        <v>737</v>
      </c>
      <c r="B336" s="5">
        <v>310730.0</v>
      </c>
      <c r="C336" s="4" t="s">
        <v>11</v>
      </c>
      <c r="D336" s="6" t="s">
        <v>11</v>
      </c>
      <c r="E336" s="5">
        <v>8.0</v>
      </c>
      <c r="F336" s="4" t="s">
        <v>569</v>
      </c>
      <c r="G336" s="4" t="s">
        <v>66</v>
      </c>
      <c r="H336" s="4" t="s">
        <v>738</v>
      </c>
      <c r="I336" s="7"/>
      <c r="K336" s="4" t="s">
        <v>66</v>
      </c>
      <c r="L336" s="7">
        <f t="shared" si="1"/>
        <v>163</v>
      </c>
      <c r="M336" s="7"/>
    </row>
    <row r="337" ht="22.5" customHeight="1">
      <c r="A337" s="4" t="s">
        <v>739</v>
      </c>
      <c r="B337" s="5">
        <v>324000.0</v>
      </c>
      <c r="C337" s="4" t="s">
        <v>11</v>
      </c>
      <c r="D337" s="6" t="s">
        <v>11</v>
      </c>
      <c r="E337" s="5">
        <v>10.0</v>
      </c>
      <c r="F337" s="4" t="s">
        <v>569</v>
      </c>
      <c r="G337" s="4" t="s">
        <v>49</v>
      </c>
      <c r="H337" s="4" t="s">
        <v>740</v>
      </c>
      <c r="I337" s="7"/>
      <c r="K337" s="4" t="s">
        <v>66</v>
      </c>
      <c r="L337" s="7">
        <f t="shared" si="1"/>
        <v>163</v>
      </c>
      <c r="M337" s="7"/>
    </row>
    <row r="338" ht="22.5" customHeight="1">
      <c r="A338" s="4" t="s">
        <v>741</v>
      </c>
      <c r="B338" s="5">
        <v>329000.0</v>
      </c>
      <c r="C338" s="4" t="s">
        <v>11</v>
      </c>
      <c r="D338" s="6" t="s">
        <v>11</v>
      </c>
      <c r="E338" s="5">
        <v>7.0</v>
      </c>
      <c r="F338" s="4" t="s">
        <v>569</v>
      </c>
      <c r="G338" s="4" t="s">
        <v>144</v>
      </c>
      <c r="H338" s="4" t="s">
        <v>742</v>
      </c>
      <c r="I338" s="7"/>
      <c r="K338" s="4" t="s">
        <v>66</v>
      </c>
      <c r="L338" s="7">
        <f t="shared" si="1"/>
        <v>163</v>
      </c>
      <c r="M338" s="7"/>
    </row>
    <row r="339" ht="22.5" customHeight="1">
      <c r="A339" s="4" t="s">
        <v>743</v>
      </c>
      <c r="B339" s="5">
        <v>350000.0</v>
      </c>
      <c r="C339" s="4" t="s">
        <v>11</v>
      </c>
      <c r="D339" s="6" t="s">
        <v>11</v>
      </c>
      <c r="E339" s="5">
        <v>3.0</v>
      </c>
      <c r="F339" s="4" t="s">
        <v>569</v>
      </c>
      <c r="G339" s="4" t="s">
        <v>66</v>
      </c>
      <c r="H339" s="4" t="s">
        <v>744</v>
      </c>
      <c r="I339" s="7"/>
      <c r="K339" s="4" t="s">
        <v>66</v>
      </c>
      <c r="L339" s="7">
        <f t="shared" si="1"/>
        <v>163</v>
      </c>
      <c r="M339" s="7"/>
    </row>
    <row r="340" ht="22.5" customHeight="1">
      <c r="A340" s="4" t="s">
        <v>745</v>
      </c>
      <c r="B340" s="5">
        <v>359000.0</v>
      </c>
      <c r="C340" s="4" t="s">
        <v>11</v>
      </c>
      <c r="D340" s="6" t="s">
        <v>11</v>
      </c>
      <c r="E340" s="5">
        <v>1.0</v>
      </c>
      <c r="F340" s="4" t="s">
        <v>569</v>
      </c>
      <c r="G340" s="4" t="s">
        <v>41</v>
      </c>
      <c r="H340" s="4" t="s">
        <v>746</v>
      </c>
      <c r="I340" s="7"/>
      <c r="K340" s="4" t="s">
        <v>66</v>
      </c>
      <c r="L340" s="7">
        <f t="shared" si="1"/>
        <v>163</v>
      </c>
      <c r="M340" s="7"/>
    </row>
    <row r="341" ht="22.5" customHeight="1">
      <c r="A341" s="4" t="s">
        <v>747</v>
      </c>
      <c r="B341" s="5">
        <v>360000.0</v>
      </c>
      <c r="C341" s="4" t="s">
        <v>11</v>
      </c>
      <c r="D341" s="6" t="s">
        <v>11</v>
      </c>
      <c r="E341" s="5">
        <v>2.0</v>
      </c>
      <c r="F341" s="4" t="s">
        <v>569</v>
      </c>
      <c r="G341" s="4" t="s">
        <v>41</v>
      </c>
      <c r="H341" s="4" t="s">
        <v>748</v>
      </c>
      <c r="I341" s="7"/>
      <c r="K341" s="4" t="s">
        <v>66</v>
      </c>
      <c r="L341" s="7">
        <f t="shared" si="1"/>
        <v>163</v>
      </c>
      <c r="M341" s="7"/>
    </row>
    <row r="342" ht="22.5" customHeight="1">
      <c r="A342" s="4" t="s">
        <v>749</v>
      </c>
      <c r="B342" s="5">
        <v>366500.0</v>
      </c>
      <c r="C342" s="4" t="s">
        <v>11</v>
      </c>
      <c r="D342" s="6" t="s">
        <v>11</v>
      </c>
      <c r="E342" s="5">
        <v>9.0</v>
      </c>
      <c r="F342" s="4" t="s">
        <v>569</v>
      </c>
      <c r="G342" s="4" t="s">
        <v>16</v>
      </c>
      <c r="H342" s="4" t="s">
        <v>750</v>
      </c>
      <c r="I342" s="7"/>
      <c r="K342" s="4" t="s">
        <v>66</v>
      </c>
      <c r="L342" s="7">
        <f t="shared" si="1"/>
        <v>163</v>
      </c>
      <c r="M342" s="7"/>
    </row>
    <row r="343" ht="22.5" customHeight="1">
      <c r="A343" s="4" t="s">
        <v>751</v>
      </c>
      <c r="B343" s="5">
        <v>370000.0</v>
      </c>
      <c r="C343" s="4" t="s">
        <v>11</v>
      </c>
      <c r="D343" s="6" t="s">
        <v>11</v>
      </c>
      <c r="E343" s="5">
        <v>14.0</v>
      </c>
      <c r="F343" s="4" t="s">
        <v>569</v>
      </c>
      <c r="G343" s="4" t="s">
        <v>57</v>
      </c>
      <c r="H343" s="4" t="s">
        <v>752</v>
      </c>
      <c r="I343" s="7"/>
      <c r="K343" s="4" t="s">
        <v>66</v>
      </c>
      <c r="L343" s="7">
        <f t="shared" si="1"/>
        <v>163</v>
      </c>
      <c r="M343" s="7"/>
    </row>
    <row r="344" ht="22.5" customHeight="1">
      <c r="A344" s="4" t="s">
        <v>753</v>
      </c>
      <c r="B344" s="5">
        <v>389500.0</v>
      </c>
      <c r="C344" s="4" t="s">
        <v>11</v>
      </c>
      <c r="D344" s="6" t="s">
        <v>11</v>
      </c>
      <c r="E344" s="5">
        <v>5.0</v>
      </c>
      <c r="F344" s="4" t="s">
        <v>569</v>
      </c>
      <c r="G344" s="4" t="s">
        <v>14</v>
      </c>
      <c r="H344" s="4" t="s">
        <v>754</v>
      </c>
      <c r="I344" s="7"/>
      <c r="K344" s="4" t="s">
        <v>66</v>
      </c>
      <c r="L344" s="7">
        <f t="shared" si="1"/>
        <v>163</v>
      </c>
      <c r="M344" s="7"/>
    </row>
    <row r="345" ht="22.5" customHeight="1">
      <c r="A345" s="4" t="s">
        <v>755</v>
      </c>
      <c r="B345" s="5">
        <v>395000.0</v>
      </c>
      <c r="C345" s="4" t="s">
        <v>11</v>
      </c>
      <c r="D345" s="6" t="s">
        <v>11</v>
      </c>
      <c r="E345" s="5">
        <v>1.0</v>
      </c>
      <c r="F345" s="4" t="s">
        <v>569</v>
      </c>
      <c r="G345" s="4" t="s">
        <v>35</v>
      </c>
      <c r="H345" s="4" t="s">
        <v>756</v>
      </c>
      <c r="I345" s="7"/>
      <c r="K345" s="4" t="s">
        <v>66</v>
      </c>
      <c r="L345" s="7">
        <f t="shared" si="1"/>
        <v>163</v>
      </c>
      <c r="M345" s="7"/>
    </row>
    <row r="346" ht="22.5" customHeight="1">
      <c r="A346" s="4" t="s">
        <v>757</v>
      </c>
      <c r="B346" s="5">
        <v>409500.0</v>
      </c>
      <c r="C346" s="4" t="s">
        <v>11</v>
      </c>
      <c r="D346" s="6" t="s">
        <v>11</v>
      </c>
      <c r="E346" s="5">
        <v>2.0</v>
      </c>
      <c r="F346" s="4" t="s">
        <v>569</v>
      </c>
      <c r="G346" s="4" t="s">
        <v>106</v>
      </c>
      <c r="H346" s="4" t="s">
        <v>758</v>
      </c>
      <c r="I346" s="7"/>
      <c r="K346" s="4" t="s">
        <v>66</v>
      </c>
      <c r="L346" s="7">
        <f t="shared" si="1"/>
        <v>163</v>
      </c>
      <c r="M346" s="7"/>
    </row>
    <row r="347" ht="22.5" customHeight="1">
      <c r="A347" s="4" t="s">
        <v>759</v>
      </c>
      <c r="B347" s="5">
        <v>410700.0</v>
      </c>
      <c r="C347" s="4" t="s">
        <v>11</v>
      </c>
      <c r="D347" s="6" t="s">
        <v>11</v>
      </c>
      <c r="E347" s="5">
        <v>35.0</v>
      </c>
      <c r="F347" s="4" t="s">
        <v>569</v>
      </c>
      <c r="G347" s="4" t="s">
        <v>41</v>
      </c>
      <c r="H347" s="4" t="s">
        <v>760</v>
      </c>
      <c r="I347" s="7"/>
      <c r="K347" s="4" t="s">
        <v>66</v>
      </c>
      <c r="L347" s="7">
        <f t="shared" si="1"/>
        <v>163</v>
      </c>
      <c r="M347" s="7"/>
    </row>
    <row r="348" ht="22.5" customHeight="1">
      <c r="A348" s="4" t="s">
        <v>761</v>
      </c>
      <c r="B348" s="5">
        <v>411400.0</v>
      </c>
      <c r="C348" s="4" t="s">
        <v>11</v>
      </c>
      <c r="D348" s="6" t="s">
        <v>11</v>
      </c>
      <c r="E348" s="5">
        <v>6.0</v>
      </c>
      <c r="F348" s="4" t="s">
        <v>569</v>
      </c>
      <c r="G348" s="4" t="s">
        <v>41</v>
      </c>
      <c r="H348" s="4" t="s">
        <v>762</v>
      </c>
      <c r="I348" s="7"/>
      <c r="K348" s="4" t="s">
        <v>66</v>
      </c>
      <c r="L348" s="7">
        <f t="shared" si="1"/>
        <v>163</v>
      </c>
      <c r="M348" s="7"/>
    </row>
    <row r="349" ht="22.5" customHeight="1">
      <c r="A349" s="4" t="s">
        <v>763</v>
      </c>
      <c r="B349" s="5">
        <v>425500.0</v>
      </c>
      <c r="C349" s="4" t="s">
        <v>11</v>
      </c>
      <c r="D349" s="6" t="s">
        <v>11</v>
      </c>
      <c r="E349" s="5">
        <v>2.0</v>
      </c>
      <c r="F349" s="4" t="s">
        <v>569</v>
      </c>
      <c r="G349" s="4" t="s">
        <v>41</v>
      </c>
      <c r="H349" s="4" t="s">
        <v>764</v>
      </c>
      <c r="I349" s="7"/>
      <c r="K349" s="4" t="s">
        <v>66</v>
      </c>
      <c r="L349" s="7">
        <f t="shared" si="1"/>
        <v>163</v>
      </c>
      <c r="M349" s="7"/>
    </row>
    <row r="350" ht="22.5" customHeight="1">
      <c r="A350" s="4" t="s">
        <v>765</v>
      </c>
      <c r="B350" s="5">
        <v>435000.0</v>
      </c>
      <c r="C350" s="4" t="s">
        <v>11</v>
      </c>
      <c r="D350" s="6" t="s">
        <v>11</v>
      </c>
      <c r="E350" s="5">
        <v>7.0</v>
      </c>
      <c r="F350" s="4" t="s">
        <v>569</v>
      </c>
      <c r="G350" s="4" t="s">
        <v>25</v>
      </c>
      <c r="H350" s="4" t="s">
        <v>766</v>
      </c>
      <c r="I350" s="7"/>
      <c r="K350" s="4" t="s">
        <v>66</v>
      </c>
      <c r="L350" s="7">
        <f t="shared" si="1"/>
        <v>163</v>
      </c>
      <c r="M350" s="7"/>
    </row>
    <row r="351" ht="22.5" customHeight="1">
      <c r="A351" s="4" t="s">
        <v>767</v>
      </c>
      <c r="B351" s="5">
        <v>442200.0</v>
      </c>
      <c r="C351" s="4" t="s">
        <v>11</v>
      </c>
      <c r="D351" s="6" t="s">
        <v>11</v>
      </c>
      <c r="E351" s="5">
        <v>81.0</v>
      </c>
      <c r="F351" s="4" t="s">
        <v>569</v>
      </c>
      <c r="G351" s="4" t="s">
        <v>18</v>
      </c>
      <c r="H351" s="4" t="s">
        <v>768</v>
      </c>
      <c r="I351" s="7"/>
      <c r="K351" s="4" t="s">
        <v>66</v>
      </c>
      <c r="L351" s="7">
        <f t="shared" si="1"/>
        <v>163</v>
      </c>
      <c r="M351" s="7"/>
    </row>
    <row r="352" ht="22.5" customHeight="1">
      <c r="A352" s="4" t="s">
        <v>769</v>
      </c>
      <c r="B352" s="5">
        <v>469000.0</v>
      </c>
      <c r="C352" s="4" t="s">
        <v>11</v>
      </c>
      <c r="D352" s="6" t="s">
        <v>11</v>
      </c>
      <c r="E352" s="5">
        <v>5.0</v>
      </c>
      <c r="F352" s="4" t="s">
        <v>569</v>
      </c>
      <c r="G352" s="4" t="s">
        <v>41</v>
      </c>
      <c r="H352" s="4" t="s">
        <v>770</v>
      </c>
      <c r="I352" s="7"/>
      <c r="K352" s="4" t="s">
        <v>66</v>
      </c>
      <c r="L352" s="7">
        <f t="shared" si="1"/>
        <v>163</v>
      </c>
      <c r="M352" s="7"/>
    </row>
    <row r="353" ht="22.5" customHeight="1">
      <c r="A353" s="4" t="s">
        <v>771</v>
      </c>
      <c r="B353" s="5">
        <v>494900.0</v>
      </c>
      <c r="C353" s="4" t="s">
        <v>11</v>
      </c>
      <c r="D353" s="6" t="s">
        <v>11</v>
      </c>
      <c r="E353" s="5">
        <v>17.0</v>
      </c>
      <c r="F353" s="4" t="s">
        <v>569</v>
      </c>
      <c r="G353" s="4" t="s">
        <v>66</v>
      </c>
      <c r="H353" s="4" t="s">
        <v>772</v>
      </c>
      <c r="I353" s="7"/>
      <c r="K353" s="4" t="s">
        <v>66</v>
      </c>
      <c r="L353" s="7">
        <f t="shared" si="1"/>
        <v>163</v>
      </c>
      <c r="M353" s="7"/>
    </row>
    <row r="354" ht="22.5" customHeight="1">
      <c r="A354" s="4" t="s">
        <v>773</v>
      </c>
      <c r="B354" s="5">
        <v>515000.0</v>
      </c>
      <c r="C354" s="4" t="s">
        <v>11</v>
      </c>
      <c r="D354" s="6" t="s">
        <v>11</v>
      </c>
      <c r="E354" s="5">
        <v>106.0</v>
      </c>
      <c r="F354" s="4" t="s">
        <v>569</v>
      </c>
      <c r="G354" s="4" t="s">
        <v>64</v>
      </c>
      <c r="H354" s="4" t="s">
        <v>774</v>
      </c>
      <c r="I354" s="7"/>
      <c r="K354" s="4" t="s">
        <v>66</v>
      </c>
      <c r="L354" s="7">
        <f t="shared" si="1"/>
        <v>163</v>
      </c>
      <c r="M354" s="7"/>
    </row>
    <row r="355" ht="22.5" customHeight="1">
      <c r="A355" s="4" t="s">
        <v>775</v>
      </c>
      <c r="B355" s="5">
        <v>550000.0</v>
      </c>
      <c r="C355" s="4" t="s">
        <v>11</v>
      </c>
      <c r="D355" s="6" t="s">
        <v>11</v>
      </c>
      <c r="E355" s="5">
        <v>95.0</v>
      </c>
      <c r="F355" s="4" t="s">
        <v>569</v>
      </c>
      <c r="G355" s="4" t="s">
        <v>16</v>
      </c>
      <c r="H355" s="4" t="s">
        <v>776</v>
      </c>
      <c r="I355" s="7"/>
      <c r="K355" s="4" t="s">
        <v>66</v>
      </c>
      <c r="L355" s="7">
        <f t="shared" si="1"/>
        <v>163</v>
      </c>
      <c r="M355" s="7"/>
    </row>
    <row r="356" ht="22.5" customHeight="1">
      <c r="A356" s="4" t="s">
        <v>777</v>
      </c>
      <c r="B356" s="5">
        <v>806000.0</v>
      </c>
      <c r="C356" s="4" t="s">
        <v>11</v>
      </c>
      <c r="D356" s="6" t="s">
        <v>11</v>
      </c>
      <c r="E356" s="5">
        <v>2.0</v>
      </c>
      <c r="F356" s="4" t="s">
        <v>569</v>
      </c>
      <c r="G356" s="4" t="s">
        <v>112</v>
      </c>
      <c r="H356" s="4" t="s">
        <v>778</v>
      </c>
      <c r="I356" s="7"/>
      <c r="K356" s="4" t="s">
        <v>66</v>
      </c>
      <c r="L356" s="7">
        <f t="shared" si="1"/>
        <v>163</v>
      </c>
      <c r="M356" s="7"/>
    </row>
    <row r="357" ht="22.5" customHeight="1">
      <c r="A357" s="4" t="s">
        <v>779</v>
      </c>
      <c r="B357" s="5">
        <v>1049950.0</v>
      </c>
      <c r="C357" s="4" t="s">
        <v>11</v>
      </c>
      <c r="D357" s="6" t="s">
        <v>11</v>
      </c>
      <c r="E357" s="5">
        <v>231.0</v>
      </c>
      <c r="F357" s="4" t="s">
        <v>569</v>
      </c>
      <c r="G357" s="4" t="s">
        <v>18</v>
      </c>
      <c r="H357" s="4" t="s">
        <v>143</v>
      </c>
      <c r="I357" s="7"/>
      <c r="K357" s="4" t="s">
        <v>66</v>
      </c>
      <c r="L357" s="7">
        <f t="shared" si="1"/>
        <v>163</v>
      </c>
      <c r="M357" s="7"/>
    </row>
    <row r="358" ht="22.5" customHeight="1">
      <c r="A358" s="4" t="s">
        <v>780</v>
      </c>
      <c r="B358" s="5">
        <v>165000.0</v>
      </c>
      <c r="C358" s="4" t="s">
        <v>781</v>
      </c>
      <c r="D358" s="6">
        <v>-0.01</v>
      </c>
      <c r="E358" s="5">
        <v>83.0</v>
      </c>
      <c r="F358" s="4" t="s">
        <v>157</v>
      </c>
      <c r="G358" s="4" t="s">
        <v>137</v>
      </c>
      <c r="H358" s="4" t="s">
        <v>782</v>
      </c>
      <c r="I358" s="7"/>
      <c r="K358" s="4" t="s">
        <v>66</v>
      </c>
      <c r="L358" s="7">
        <f t="shared" si="1"/>
        <v>163</v>
      </c>
      <c r="M358" s="7"/>
    </row>
    <row r="359" ht="22.5" customHeight="1">
      <c r="A359" s="4" t="s">
        <v>783</v>
      </c>
      <c r="B359" s="5">
        <v>349000.0</v>
      </c>
      <c r="C359" s="4" t="s">
        <v>784</v>
      </c>
      <c r="D359" s="6">
        <v>-0.01</v>
      </c>
      <c r="E359" s="5">
        <v>25.0</v>
      </c>
      <c r="F359" s="4" t="s">
        <v>157</v>
      </c>
      <c r="G359" s="4" t="s">
        <v>41</v>
      </c>
      <c r="H359" s="4" t="s">
        <v>785</v>
      </c>
      <c r="I359" s="7"/>
      <c r="K359" s="4" t="s">
        <v>66</v>
      </c>
      <c r="L359" s="7">
        <f t="shared" si="1"/>
        <v>163</v>
      </c>
      <c r="M359" s="7"/>
    </row>
    <row r="360" ht="22.5" customHeight="1">
      <c r="A360" s="4" t="s">
        <v>786</v>
      </c>
      <c r="B360" s="5">
        <v>100500.0</v>
      </c>
      <c r="C360" s="4" t="s">
        <v>787</v>
      </c>
      <c r="D360" s="6">
        <v>-0.01</v>
      </c>
      <c r="E360" s="5">
        <v>10000.0</v>
      </c>
      <c r="F360" s="4" t="s">
        <v>324</v>
      </c>
      <c r="G360" s="4" t="s">
        <v>41</v>
      </c>
      <c r="H360" s="4" t="s">
        <v>788</v>
      </c>
      <c r="I360" s="7"/>
      <c r="K360" s="4" t="s">
        <v>66</v>
      </c>
      <c r="L360" s="7">
        <f t="shared" si="1"/>
        <v>163</v>
      </c>
      <c r="M360" s="7"/>
    </row>
    <row r="361" ht="22.5" customHeight="1">
      <c r="A361" s="4" t="s">
        <v>789</v>
      </c>
      <c r="B361" s="5">
        <v>109130.0</v>
      </c>
      <c r="C361" s="4" t="s">
        <v>790</v>
      </c>
      <c r="D361" s="6">
        <v>-0.01</v>
      </c>
      <c r="E361" s="5">
        <v>937.0</v>
      </c>
      <c r="F361" s="4" t="s">
        <v>324</v>
      </c>
      <c r="G361" s="4" t="s">
        <v>49</v>
      </c>
      <c r="H361" s="4" t="s">
        <v>791</v>
      </c>
      <c r="I361" s="7"/>
      <c r="K361" s="4" t="s">
        <v>66</v>
      </c>
      <c r="L361" s="7">
        <f t="shared" si="1"/>
        <v>163</v>
      </c>
      <c r="M361" s="7"/>
    </row>
    <row r="362" ht="22.5" customHeight="1">
      <c r="A362" s="4" t="s">
        <v>792</v>
      </c>
      <c r="B362" s="5">
        <v>109600.0</v>
      </c>
      <c r="C362" s="4" t="s">
        <v>793</v>
      </c>
      <c r="D362" s="6">
        <v>-0.01</v>
      </c>
      <c r="E362" s="5">
        <v>74.0</v>
      </c>
      <c r="F362" s="4" t="s">
        <v>324</v>
      </c>
      <c r="G362" s="4" t="s">
        <v>16</v>
      </c>
      <c r="H362" s="4" t="s">
        <v>794</v>
      </c>
      <c r="I362" s="7"/>
      <c r="K362" s="4" t="s">
        <v>66</v>
      </c>
      <c r="L362" s="7">
        <f t="shared" si="1"/>
        <v>163</v>
      </c>
      <c r="M362" s="7"/>
    </row>
    <row r="363" ht="22.5" customHeight="1">
      <c r="A363" s="4" t="s">
        <v>795</v>
      </c>
      <c r="B363" s="5">
        <v>137000.0</v>
      </c>
      <c r="C363" s="4" t="s">
        <v>796</v>
      </c>
      <c r="D363" s="6">
        <v>-0.01</v>
      </c>
      <c r="E363" s="5">
        <v>50.0</v>
      </c>
      <c r="F363" s="4" t="s">
        <v>324</v>
      </c>
      <c r="G363" s="4" t="s">
        <v>41</v>
      </c>
      <c r="H363" s="4" t="s">
        <v>797</v>
      </c>
      <c r="I363" s="7"/>
      <c r="K363" s="4" t="s">
        <v>66</v>
      </c>
      <c r="L363" s="7">
        <f t="shared" si="1"/>
        <v>163</v>
      </c>
      <c r="M363" s="7"/>
    </row>
    <row r="364" ht="22.5" customHeight="1">
      <c r="A364" s="4" t="s">
        <v>798</v>
      </c>
      <c r="B364" s="5">
        <v>153000.0</v>
      </c>
      <c r="C364" s="4" t="s">
        <v>799</v>
      </c>
      <c r="D364" s="6">
        <v>-0.01</v>
      </c>
      <c r="E364" s="5">
        <v>103.0</v>
      </c>
      <c r="F364" s="4" t="s">
        <v>324</v>
      </c>
      <c r="G364" s="4" t="s">
        <v>41</v>
      </c>
      <c r="H364" s="4" t="s">
        <v>800</v>
      </c>
      <c r="I364" s="7"/>
      <c r="K364" s="4" t="s">
        <v>66</v>
      </c>
      <c r="L364" s="7">
        <f t="shared" si="1"/>
        <v>163</v>
      </c>
      <c r="M364" s="7"/>
    </row>
    <row r="365" ht="22.5" customHeight="1">
      <c r="A365" s="4" t="s">
        <v>801</v>
      </c>
      <c r="B365" s="5">
        <v>158800.0</v>
      </c>
      <c r="C365" s="4" t="s">
        <v>802</v>
      </c>
      <c r="D365" s="6">
        <v>-0.01</v>
      </c>
      <c r="E365" s="5">
        <v>57.0</v>
      </c>
      <c r="F365" s="4" t="s">
        <v>324</v>
      </c>
      <c r="G365" s="4" t="s">
        <v>41</v>
      </c>
      <c r="H365" s="4" t="s">
        <v>803</v>
      </c>
      <c r="I365" s="7"/>
      <c r="K365" s="4" t="s">
        <v>66</v>
      </c>
      <c r="L365" s="7">
        <f t="shared" si="1"/>
        <v>163</v>
      </c>
      <c r="M365" s="7"/>
    </row>
    <row r="366" ht="22.5" customHeight="1">
      <c r="A366" s="4" t="s">
        <v>804</v>
      </c>
      <c r="B366" s="5">
        <v>178000.0</v>
      </c>
      <c r="C366" s="4" t="s">
        <v>805</v>
      </c>
      <c r="D366" s="6">
        <v>-0.01</v>
      </c>
      <c r="E366" s="5">
        <v>146.0</v>
      </c>
      <c r="F366" s="4" t="s">
        <v>324</v>
      </c>
      <c r="G366" s="4" t="s">
        <v>16</v>
      </c>
      <c r="H366" s="4" t="s">
        <v>806</v>
      </c>
      <c r="I366" s="7"/>
      <c r="K366" s="4" t="s">
        <v>66</v>
      </c>
      <c r="L366" s="7">
        <f t="shared" si="1"/>
        <v>163</v>
      </c>
      <c r="M366" s="7"/>
    </row>
    <row r="367" ht="22.5" customHeight="1">
      <c r="A367" s="4" t="s">
        <v>807</v>
      </c>
      <c r="B367" s="5">
        <v>289700.0</v>
      </c>
      <c r="C367" s="4" t="s">
        <v>808</v>
      </c>
      <c r="D367" s="6">
        <v>-0.01</v>
      </c>
      <c r="E367" s="5">
        <v>9.0</v>
      </c>
      <c r="F367" s="4" t="s">
        <v>324</v>
      </c>
      <c r="G367" s="4" t="s">
        <v>41</v>
      </c>
      <c r="H367" s="4" t="s">
        <v>809</v>
      </c>
      <c r="I367" s="7"/>
      <c r="K367" s="4" t="s">
        <v>66</v>
      </c>
      <c r="L367" s="7">
        <f t="shared" si="1"/>
        <v>163</v>
      </c>
      <c r="M367" s="7"/>
    </row>
    <row r="368" ht="22.5" customHeight="1">
      <c r="A368" s="4" t="s">
        <v>810</v>
      </c>
      <c r="B368" s="5">
        <v>97900.0</v>
      </c>
      <c r="C368" s="4" t="s">
        <v>811</v>
      </c>
      <c r="D368" s="6">
        <v>-0.01</v>
      </c>
      <c r="E368" s="5">
        <v>231.0</v>
      </c>
      <c r="F368" s="4" t="s">
        <v>476</v>
      </c>
      <c r="G368" s="4" t="s">
        <v>117</v>
      </c>
      <c r="H368" s="4" t="s">
        <v>812</v>
      </c>
      <c r="I368" s="7"/>
      <c r="K368" s="4" t="s">
        <v>66</v>
      </c>
      <c r="L368" s="7">
        <f t="shared" si="1"/>
        <v>163</v>
      </c>
      <c r="M368" s="7"/>
    </row>
    <row r="369" ht="22.5" customHeight="1">
      <c r="A369" s="4" t="s">
        <v>813</v>
      </c>
      <c r="B369" s="5">
        <v>119300.0</v>
      </c>
      <c r="C369" s="4" t="s">
        <v>814</v>
      </c>
      <c r="D369" s="6">
        <v>-0.01</v>
      </c>
      <c r="E369" s="5">
        <v>1000.0</v>
      </c>
      <c r="F369" s="4" t="s">
        <v>476</v>
      </c>
      <c r="G369" s="4" t="s">
        <v>41</v>
      </c>
      <c r="H369" s="4" t="s">
        <v>815</v>
      </c>
      <c r="I369" s="7"/>
      <c r="K369" s="4" t="s">
        <v>66</v>
      </c>
      <c r="L369" s="7">
        <f t="shared" si="1"/>
        <v>163</v>
      </c>
      <c r="M369" s="7"/>
    </row>
    <row r="370" ht="22.5" customHeight="1">
      <c r="A370" s="4" t="s">
        <v>816</v>
      </c>
      <c r="B370" s="5">
        <v>160000.0</v>
      </c>
      <c r="C370" s="4" t="s">
        <v>817</v>
      </c>
      <c r="D370" s="6">
        <v>-0.01</v>
      </c>
      <c r="E370" s="5">
        <v>283.0</v>
      </c>
      <c r="F370" s="4" t="s">
        <v>476</v>
      </c>
      <c r="G370" s="4" t="s">
        <v>41</v>
      </c>
      <c r="H370" s="4" t="s">
        <v>818</v>
      </c>
      <c r="I370" s="7"/>
      <c r="K370" s="4" t="s">
        <v>66</v>
      </c>
      <c r="L370" s="7">
        <f t="shared" si="1"/>
        <v>163</v>
      </c>
      <c r="M370" s="7"/>
    </row>
    <row r="371" ht="22.5" customHeight="1">
      <c r="A371" s="4" t="s">
        <v>819</v>
      </c>
      <c r="B371" s="5">
        <v>142500.0</v>
      </c>
      <c r="C371" s="4" t="s">
        <v>820</v>
      </c>
      <c r="D371" s="6">
        <v>-0.01</v>
      </c>
      <c r="E371" s="5">
        <v>29.0</v>
      </c>
      <c r="F371" s="4" t="s">
        <v>569</v>
      </c>
      <c r="G371" s="4" t="s">
        <v>41</v>
      </c>
      <c r="H371" s="4" t="s">
        <v>821</v>
      </c>
      <c r="I371" s="7"/>
      <c r="K371" s="4" t="s">
        <v>66</v>
      </c>
      <c r="L371" s="7">
        <f t="shared" si="1"/>
        <v>163</v>
      </c>
      <c r="M371" s="7"/>
    </row>
    <row r="372" ht="22.5" customHeight="1">
      <c r="A372" s="4" t="s">
        <v>822</v>
      </c>
      <c r="B372" s="5">
        <v>186578.0</v>
      </c>
      <c r="C372" s="4" t="s">
        <v>823</v>
      </c>
      <c r="D372" s="6">
        <v>-0.01</v>
      </c>
      <c r="E372" s="5">
        <v>104.0</v>
      </c>
      <c r="F372" s="4" t="s">
        <v>569</v>
      </c>
      <c r="G372" s="4" t="s">
        <v>41</v>
      </c>
      <c r="H372" s="4" t="s">
        <v>824</v>
      </c>
      <c r="I372" s="7"/>
      <c r="K372" s="4" t="s">
        <v>66</v>
      </c>
      <c r="L372" s="7">
        <f t="shared" si="1"/>
        <v>163</v>
      </c>
      <c r="M372" s="7"/>
    </row>
    <row r="373" ht="22.5" customHeight="1">
      <c r="A373" s="4" t="s">
        <v>825</v>
      </c>
      <c r="B373" s="5">
        <v>189000.0</v>
      </c>
      <c r="C373" s="4" t="s">
        <v>826</v>
      </c>
      <c r="D373" s="6">
        <v>-0.01</v>
      </c>
      <c r="E373" s="5">
        <v>164.0</v>
      </c>
      <c r="F373" s="4" t="s">
        <v>569</v>
      </c>
      <c r="G373" s="4" t="s">
        <v>49</v>
      </c>
      <c r="H373" s="4" t="s">
        <v>827</v>
      </c>
      <c r="I373" s="7"/>
      <c r="K373" s="4" t="s">
        <v>66</v>
      </c>
      <c r="L373" s="7">
        <f t="shared" si="1"/>
        <v>163</v>
      </c>
      <c r="M373" s="7"/>
    </row>
    <row r="374" ht="22.5" customHeight="1">
      <c r="A374" s="4" t="s">
        <v>828</v>
      </c>
      <c r="B374" s="5">
        <v>210050.0</v>
      </c>
      <c r="C374" s="4" t="s">
        <v>829</v>
      </c>
      <c r="D374" s="6">
        <v>-0.01</v>
      </c>
      <c r="E374" s="5">
        <v>4.0</v>
      </c>
      <c r="F374" s="4" t="s">
        <v>569</v>
      </c>
      <c r="G374" s="4" t="s">
        <v>49</v>
      </c>
      <c r="H374" s="4" t="s">
        <v>830</v>
      </c>
      <c r="I374" s="7"/>
      <c r="K374" s="4" t="s">
        <v>66</v>
      </c>
      <c r="L374" s="7">
        <f t="shared" si="1"/>
        <v>163</v>
      </c>
      <c r="M374" s="7"/>
    </row>
    <row r="375" ht="22.5" customHeight="1">
      <c r="A375" s="4" t="s">
        <v>831</v>
      </c>
      <c r="B375" s="5">
        <v>240000.0</v>
      </c>
      <c r="C375" s="4" t="s">
        <v>832</v>
      </c>
      <c r="D375" s="6">
        <v>-0.01</v>
      </c>
      <c r="E375" s="5">
        <v>4.0</v>
      </c>
      <c r="F375" s="4" t="s">
        <v>569</v>
      </c>
      <c r="G375" s="4" t="s">
        <v>41</v>
      </c>
      <c r="H375" s="4" t="s">
        <v>833</v>
      </c>
      <c r="I375" s="7"/>
      <c r="K375" s="4" t="s">
        <v>66</v>
      </c>
      <c r="L375" s="7">
        <f t="shared" si="1"/>
        <v>163</v>
      </c>
      <c r="M375" s="7"/>
    </row>
    <row r="376" ht="22.5" customHeight="1">
      <c r="A376" s="4" t="s">
        <v>834</v>
      </c>
      <c r="B376" s="5">
        <v>310000.0</v>
      </c>
      <c r="C376" s="4" t="s">
        <v>835</v>
      </c>
      <c r="D376" s="6">
        <v>-0.01</v>
      </c>
      <c r="E376" s="5">
        <v>9.0</v>
      </c>
      <c r="F376" s="4" t="s">
        <v>569</v>
      </c>
      <c r="G376" s="4" t="s">
        <v>96</v>
      </c>
      <c r="H376" s="4" t="s">
        <v>836</v>
      </c>
      <c r="I376" s="7"/>
      <c r="K376" s="4" t="s">
        <v>66</v>
      </c>
      <c r="L376" s="7">
        <f t="shared" si="1"/>
        <v>163</v>
      </c>
      <c r="M376" s="7"/>
    </row>
    <row r="377" ht="22.5" customHeight="1">
      <c r="A377" s="4" t="s">
        <v>837</v>
      </c>
      <c r="B377" s="5">
        <v>442200.0</v>
      </c>
      <c r="C377" s="4" t="s">
        <v>838</v>
      </c>
      <c r="D377" s="6">
        <v>-0.01</v>
      </c>
      <c r="E377" s="5">
        <v>3.0</v>
      </c>
      <c r="F377" s="4" t="s">
        <v>569</v>
      </c>
      <c r="G377" s="4" t="s">
        <v>41</v>
      </c>
      <c r="H377" s="4" t="s">
        <v>839</v>
      </c>
      <c r="I377" s="7"/>
      <c r="K377" s="4" t="s">
        <v>66</v>
      </c>
      <c r="L377" s="7">
        <f t="shared" si="1"/>
        <v>163</v>
      </c>
      <c r="M377" s="7"/>
    </row>
    <row r="378" ht="22.5" customHeight="1">
      <c r="A378" s="4" t="s">
        <v>840</v>
      </c>
      <c r="B378" s="5">
        <v>554000.0</v>
      </c>
      <c r="C378" s="4" t="s">
        <v>841</v>
      </c>
      <c r="D378" s="6">
        <v>-0.01</v>
      </c>
      <c r="E378" s="5">
        <v>2.0</v>
      </c>
      <c r="F378" s="4" t="s">
        <v>569</v>
      </c>
      <c r="G378" s="4" t="s">
        <v>41</v>
      </c>
      <c r="H378" s="4" t="s">
        <v>842</v>
      </c>
      <c r="I378" s="7"/>
      <c r="K378" s="4" t="s">
        <v>66</v>
      </c>
      <c r="L378" s="7">
        <f t="shared" si="1"/>
        <v>163</v>
      </c>
      <c r="M378" s="7"/>
    </row>
    <row r="379" ht="22.5" customHeight="1">
      <c r="A379" s="4" t="s">
        <v>843</v>
      </c>
      <c r="B379" s="5">
        <v>73600.0</v>
      </c>
      <c r="C379" s="4" t="s">
        <v>844</v>
      </c>
      <c r="D379" s="6">
        <v>-0.02</v>
      </c>
      <c r="E379" s="5">
        <v>1000.0</v>
      </c>
      <c r="F379" s="4" t="s">
        <v>324</v>
      </c>
      <c r="G379" s="4" t="s">
        <v>137</v>
      </c>
      <c r="H379" s="4" t="s">
        <v>845</v>
      </c>
      <c r="I379" s="7"/>
      <c r="K379" s="4" t="s">
        <v>66</v>
      </c>
      <c r="L379" s="7">
        <f t="shared" si="1"/>
        <v>163</v>
      </c>
      <c r="M379" s="7"/>
    </row>
    <row r="380" ht="22.5" customHeight="1">
      <c r="A380" s="4" t="s">
        <v>846</v>
      </c>
      <c r="B380" s="5">
        <v>73800.0</v>
      </c>
      <c r="C380" s="4" t="s">
        <v>844</v>
      </c>
      <c r="D380" s="6">
        <v>-0.02</v>
      </c>
      <c r="E380" s="5">
        <v>21.0</v>
      </c>
      <c r="F380" s="4" t="s">
        <v>324</v>
      </c>
      <c r="G380" s="4" t="s">
        <v>137</v>
      </c>
      <c r="H380" s="4" t="s">
        <v>845</v>
      </c>
      <c r="I380" s="7"/>
      <c r="K380" s="4" t="s">
        <v>66</v>
      </c>
      <c r="L380" s="7">
        <f t="shared" si="1"/>
        <v>163</v>
      </c>
      <c r="M380" s="7"/>
    </row>
    <row r="381" ht="22.5" customHeight="1">
      <c r="A381" s="4" t="s">
        <v>847</v>
      </c>
      <c r="B381" s="5">
        <v>171120.0</v>
      </c>
      <c r="C381" s="4" t="s">
        <v>848</v>
      </c>
      <c r="D381" s="6">
        <v>-0.02</v>
      </c>
      <c r="E381" s="5">
        <v>95.0</v>
      </c>
      <c r="F381" s="4" t="s">
        <v>476</v>
      </c>
      <c r="G381" s="4" t="s">
        <v>21</v>
      </c>
      <c r="H381" s="4" t="s">
        <v>849</v>
      </c>
      <c r="I381" s="7"/>
      <c r="K381" s="4" t="s">
        <v>66</v>
      </c>
      <c r="L381" s="7">
        <f t="shared" si="1"/>
        <v>163</v>
      </c>
      <c r="M381" s="7"/>
    </row>
    <row r="382" ht="22.5" customHeight="1">
      <c r="A382" s="4" t="s">
        <v>850</v>
      </c>
      <c r="B382" s="5">
        <v>150700.0</v>
      </c>
      <c r="C382" s="4" t="s">
        <v>851</v>
      </c>
      <c r="D382" s="6">
        <v>-0.02</v>
      </c>
      <c r="E382" s="5">
        <v>31.0</v>
      </c>
      <c r="F382" s="4" t="s">
        <v>569</v>
      </c>
      <c r="G382" s="4" t="s">
        <v>16</v>
      </c>
      <c r="H382" s="4" t="s">
        <v>852</v>
      </c>
      <c r="I382" s="7"/>
      <c r="K382" s="4" t="s">
        <v>66</v>
      </c>
      <c r="L382" s="7">
        <f t="shared" si="1"/>
        <v>163</v>
      </c>
      <c r="M382" s="7"/>
    </row>
    <row r="383" ht="22.5" customHeight="1">
      <c r="A383" s="4" t="s">
        <v>853</v>
      </c>
      <c r="B383" s="5">
        <v>163000.0</v>
      </c>
      <c r="C383" s="4" t="s">
        <v>854</v>
      </c>
      <c r="D383" s="6">
        <v>-0.03</v>
      </c>
      <c r="E383" s="6" t="s">
        <v>11</v>
      </c>
      <c r="F383" s="4" t="s">
        <v>439</v>
      </c>
      <c r="G383" s="4" t="s">
        <v>53</v>
      </c>
      <c r="H383" s="4" t="s">
        <v>855</v>
      </c>
      <c r="I383" s="7"/>
      <c r="K383" s="4" t="s">
        <v>66</v>
      </c>
      <c r="L383" s="7">
        <f t="shared" si="1"/>
        <v>163</v>
      </c>
      <c r="M383" s="7"/>
    </row>
    <row r="384" ht="22.5" customHeight="1">
      <c r="A384" s="4" t="s">
        <v>856</v>
      </c>
      <c r="B384" s="5">
        <v>70000.0</v>
      </c>
      <c r="C384" s="4" t="s">
        <v>857</v>
      </c>
      <c r="D384" s="6">
        <v>-0.04</v>
      </c>
      <c r="E384" s="5">
        <v>2000.0</v>
      </c>
      <c r="F384" s="4" t="s">
        <v>324</v>
      </c>
      <c r="G384" s="4" t="s">
        <v>66</v>
      </c>
      <c r="H384" s="4" t="s">
        <v>858</v>
      </c>
      <c r="I384" s="7"/>
      <c r="K384" s="4" t="s">
        <v>66</v>
      </c>
      <c r="L384" s="7">
        <f t="shared" si="1"/>
        <v>163</v>
      </c>
      <c r="M384" s="7"/>
    </row>
    <row r="385" ht="22.5" customHeight="1">
      <c r="A385" s="4" t="s">
        <v>859</v>
      </c>
      <c r="B385" s="5">
        <v>132000.0</v>
      </c>
      <c r="C385" s="4" t="s">
        <v>860</v>
      </c>
      <c r="D385" s="6">
        <v>-0.04</v>
      </c>
      <c r="E385" s="5">
        <v>20.0</v>
      </c>
      <c r="F385" s="4" t="s">
        <v>324</v>
      </c>
      <c r="G385" s="4" t="s">
        <v>137</v>
      </c>
      <c r="H385" s="4" t="s">
        <v>861</v>
      </c>
      <c r="I385" s="7"/>
      <c r="K385" s="4" t="s">
        <v>66</v>
      </c>
      <c r="L385" s="7">
        <f t="shared" si="1"/>
        <v>163</v>
      </c>
      <c r="M385" s="7"/>
    </row>
    <row r="386" ht="22.5" customHeight="1">
      <c r="A386" s="4" t="s">
        <v>862</v>
      </c>
      <c r="B386" s="5">
        <v>65500.0</v>
      </c>
      <c r="C386" s="4" t="s">
        <v>841</v>
      </c>
      <c r="D386" s="6">
        <v>-0.05</v>
      </c>
      <c r="E386" s="5">
        <v>488.0</v>
      </c>
      <c r="F386" s="4" t="s">
        <v>198</v>
      </c>
      <c r="G386" s="4" t="s">
        <v>49</v>
      </c>
      <c r="H386" s="4" t="s">
        <v>863</v>
      </c>
      <c r="I386" s="7"/>
      <c r="K386" s="4" t="s">
        <v>66</v>
      </c>
      <c r="L386" s="7">
        <f t="shared" si="1"/>
        <v>163</v>
      </c>
      <c r="M386" s="7"/>
    </row>
    <row r="387" ht="22.5" customHeight="1">
      <c r="A387" s="4" t="s">
        <v>864</v>
      </c>
      <c r="B387" s="5">
        <v>150000.0</v>
      </c>
      <c r="C387" s="4" t="s">
        <v>865</v>
      </c>
      <c r="D387" s="6">
        <v>-0.05</v>
      </c>
      <c r="E387" s="5">
        <v>62.0</v>
      </c>
      <c r="F387" s="4" t="s">
        <v>198</v>
      </c>
      <c r="G387" s="4" t="s">
        <v>41</v>
      </c>
      <c r="H387" s="4" t="s">
        <v>866</v>
      </c>
      <c r="I387" s="7"/>
      <c r="K387" s="4" t="s">
        <v>66</v>
      </c>
      <c r="L387" s="7">
        <f t="shared" si="1"/>
        <v>163</v>
      </c>
      <c r="M387" s="7"/>
    </row>
    <row r="388" ht="22.5" customHeight="1">
      <c r="A388" s="4" t="s">
        <v>867</v>
      </c>
      <c r="B388" s="5">
        <v>215000.0</v>
      </c>
      <c r="C388" s="4" t="s">
        <v>868</v>
      </c>
      <c r="D388" s="6">
        <v>-0.05</v>
      </c>
      <c r="E388" s="5">
        <v>79.0</v>
      </c>
      <c r="F388" s="4" t="s">
        <v>569</v>
      </c>
      <c r="G388" s="4" t="s">
        <v>41</v>
      </c>
      <c r="H388" s="4" t="s">
        <v>869</v>
      </c>
      <c r="I388" s="7"/>
      <c r="K388" s="4" t="s">
        <v>66</v>
      </c>
      <c r="L388" s="7">
        <f t="shared" si="1"/>
        <v>163</v>
      </c>
      <c r="M388" s="7"/>
    </row>
    <row r="389" ht="22.5" customHeight="1">
      <c r="A389" s="4" t="s">
        <v>870</v>
      </c>
      <c r="B389" s="5">
        <v>210000.0</v>
      </c>
      <c r="C389" s="4" t="s">
        <v>871</v>
      </c>
      <c r="D389" s="6">
        <v>-0.06</v>
      </c>
      <c r="E389" s="5">
        <v>17.0</v>
      </c>
      <c r="F389" s="4" t="s">
        <v>157</v>
      </c>
      <c r="G389" s="4" t="s">
        <v>41</v>
      </c>
      <c r="H389" s="4" t="s">
        <v>872</v>
      </c>
      <c r="I389" s="7"/>
      <c r="K389" s="4" t="s">
        <v>66</v>
      </c>
      <c r="L389" s="7">
        <f t="shared" si="1"/>
        <v>163</v>
      </c>
      <c r="M389" s="7"/>
    </row>
    <row r="390" ht="22.5" customHeight="1">
      <c r="A390" s="4" t="s">
        <v>873</v>
      </c>
      <c r="B390" s="5">
        <v>66800.0</v>
      </c>
      <c r="C390" s="4" t="s">
        <v>874</v>
      </c>
      <c r="D390" s="6">
        <v>-0.06</v>
      </c>
      <c r="E390" s="5">
        <v>43.0</v>
      </c>
      <c r="F390" s="4" t="s">
        <v>198</v>
      </c>
      <c r="G390" s="4" t="s">
        <v>41</v>
      </c>
      <c r="H390" s="4" t="s">
        <v>875</v>
      </c>
      <c r="I390" s="7"/>
      <c r="K390" s="4" t="s">
        <v>66</v>
      </c>
      <c r="L390" s="7">
        <f t="shared" si="1"/>
        <v>163</v>
      </c>
      <c r="M390" s="7"/>
    </row>
    <row r="391" ht="22.5" customHeight="1">
      <c r="A391" s="4" t="s">
        <v>876</v>
      </c>
      <c r="B391" s="5">
        <v>235000.0</v>
      </c>
      <c r="C391" s="4" t="s">
        <v>877</v>
      </c>
      <c r="D391" s="6">
        <v>-0.06</v>
      </c>
      <c r="E391" s="5">
        <v>103.0</v>
      </c>
      <c r="F391" s="4" t="s">
        <v>324</v>
      </c>
      <c r="G391" s="4" t="s">
        <v>159</v>
      </c>
      <c r="H391" s="4" t="s">
        <v>878</v>
      </c>
      <c r="I391" s="7"/>
      <c r="K391" s="4" t="s">
        <v>66</v>
      </c>
      <c r="L391" s="7">
        <f t="shared" si="1"/>
        <v>163</v>
      </c>
      <c r="M391" s="7"/>
    </row>
    <row r="392" ht="22.5" customHeight="1">
      <c r="A392" s="4" t="s">
        <v>879</v>
      </c>
      <c r="B392" s="5">
        <v>133459.0</v>
      </c>
      <c r="C392" s="4" t="s">
        <v>880</v>
      </c>
      <c r="D392" s="6">
        <v>-0.06</v>
      </c>
      <c r="E392" s="5">
        <v>41.0</v>
      </c>
      <c r="F392" s="4" t="s">
        <v>476</v>
      </c>
      <c r="G392" s="4" t="s">
        <v>41</v>
      </c>
      <c r="H392" s="4" t="s">
        <v>881</v>
      </c>
      <c r="I392" s="7"/>
      <c r="K392" s="4" t="s">
        <v>66</v>
      </c>
      <c r="L392" s="7">
        <f t="shared" si="1"/>
        <v>163</v>
      </c>
      <c r="M392" s="7"/>
    </row>
    <row r="393" ht="22.5" customHeight="1">
      <c r="A393" s="4" t="s">
        <v>882</v>
      </c>
      <c r="B393" s="5">
        <v>301600.0</v>
      </c>
      <c r="C393" s="4" t="s">
        <v>883</v>
      </c>
      <c r="D393" s="6">
        <v>-0.06</v>
      </c>
      <c r="E393" s="5">
        <v>3000.0</v>
      </c>
      <c r="F393" s="4" t="s">
        <v>476</v>
      </c>
      <c r="G393" s="4" t="s">
        <v>41</v>
      </c>
      <c r="H393" s="4" t="s">
        <v>884</v>
      </c>
      <c r="I393" s="7"/>
      <c r="K393" s="4" t="s">
        <v>66</v>
      </c>
      <c r="L393" s="7">
        <f t="shared" si="1"/>
        <v>163</v>
      </c>
      <c r="M393" s="7"/>
    </row>
    <row r="394" ht="22.5" customHeight="1">
      <c r="A394" s="4" t="s">
        <v>885</v>
      </c>
      <c r="B394" s="5">
        <v>95000.0</v>
      </c>
      <c r="C394" s="4" t="s">
        <v>886</v>
      </c>
      <c r="D394" s="6">
        <v>-0.07</v>
      </c>
      <c r="E394" s="5">
        <v>36.0</v>
      </c>
      <c r="F394" s="4" t="s">
        <v>198</v>
      </c>
      <c r="G394" s="4" t="s">
        <v>41</v>
      </c>
      <c r="H394" s="4" t="s">
        <v>887</v>
      </c>
      <c r="I394" s="7"/>
      <c r="K394" s="4" t="s">
        <v>66</v>
      </c>
      <c r="L394" s="7">
        <f t="shared" si="1"/>
        <v>163</v>
      </c>
      <c r="M394" s="7"/>
    </row>
    <row r="395" ht="22.5" customHeight="1">
      <c r="A395" s="4" t="s">
        <v>888</v>
      </c>
      <c r="B395" s="5">
        <v>165000.0</v>
      </c>
      <c r="C395" s="4" t="s">
        <v>889</v>
      </c>
      <c r="D395" s="6">
        <v>-0.07</v>
      </c>
      <c r="E395" s="5">
        <v>122.0</v>
      </c>
      <c r="F395" s="4" t="s">
        <v>324</v>
      </c>
      <c r="G395" s="4" t="s">
        <v>37</v>
      </c>
      <c r="H395" s="4" t="s">
        <v>890</v>
      </c>
      <c r="I395" s="7"/>
      <c r="K395" s="4" t="s">
        <v>66</v>
      </c>
      <c r="L395" s="7">
        <f t="shared" si="1"/>
        <v>163</v>
      </c>
      <c r="M395" s="7"/>
    </row>
    <row r="396" ht="22.5" customHeight="1">
      <c r="A396" s="4" t="s">
        <v>891</v>
      </c>
      <c r="B396" s="5">
        <v>165000.0</v>
      </c>
      <c r="C396" s="4" t="s">
        <v>892</v>
      </c>
      <c r="D396" s="6">
        <v>-0.07</v>
      </c>
      <c r="E396" s="5">
        <v>159.0</v>
      </c>
      <c r="F396" s="4" t="s">
        <v>324</v>
      </c>
      <c r="G396" s="4" t="s">
        <v>37</v>
      </c>
      <c r="H396" s="4" t="s">
        <v>893</v>
      </c>
      <c r="I396" s="7"/>
      <c r="K396" s="4" t="s">
        <v>66</v>
      </c>
      <c r="L396" s="7">
        <f t="shared" si="1"/>
        <v>163</v>
      </c>
      <c r="M396" s="7"/>
    </row>
    <row r="397" ht="22.5" customHeight="1">
      <c r="A397" s="4" t="s">
        <v>894</v>
      </c>
      <c r="B397" s="5">
        <v>184000.0</v>
      </c>
      <c r="C397" s="4" t="s">
        <v>895</v>
      </c>
      <c r="D397" s="6">
        <v>-0.07</v>
      </c>
      <c r="E397" s="5">
        <v>127.0</v>
      </c>
      <c r="F397" s="4" t="s">
        <v>324</v>
      </c>
      <c r="G397" s="4" t="s">
        <v>41</v>
      </c>
      <c r="H397" s="4" t="s">
        <v>896</v>
      </c>
      <c r="I397" s="7"/>
      <c r="K397" s="4" t="s">
        <v>66</v>
      </c>
      <c r="L397" s="7">
        <f t="shared" si="1"/>
        <v>163</v>
      </c>
      <c r="M397" s="7"/>
    </row>
    <row r="398" ht="22.5" customHeight="1">
      <c r="A398" s="4" t="s">
        <v>897</v>
      </c>
      <c r="B398" s="5">
        <v>167000.0</v>
      </c>
      <c r="C398" s="4" t="s">
        <v>892</v>
      </c>
      <c r="D398" s="6">
        <v>-0.07</v>
      </c>
      <c r="E398" s="5">
        <v>41.0</v>
      </c>
      <c r="F398" s="4" t="s">
        <v>569</v>
      </c>
      <c r="G398" s="4" t="s">
        <v>37</v>
      </c>
      <c r="H398" s="4" t="s">
        <v>898</v>
      </c>
      <c r="I398" s="7"/>
      <c r="K398" s="4" t="s">
        <v>66</v>
      </c>
      <c r="L398" s="7">
        <f t="shared" si="1"/>
        <v>163</v>
      </c>
      <c r="M398" s="7"/>
    </row>
    <row r="399" ht="22.5" customHeight="1">
      <c r="A399" s="4" t="s">
        <v>899</v>
      </c>
      <c r="B399" s="5">
        <v>122875.0</v>
      </c>
      <c r="C399" s="4" t="s">
        <v>900</v>
      </c>
      <c r="D399" s="6">
        <v>-0.08</v>
      </c>
      <c r="E399" s="5">
        <v>128.0</v>
      </c>
      <c r="F399" s="4" t="s">
        <v>114</v>
      </c>
      <c r="G399" s="4" t="s">
        <v>66</v>
      </c>
      <c r="H399" s="4" t="s">
        <v>901</v>
      </c>
      <c r="I399" s="7"/>
      <c r="K399" s="4" t="s">
        <v>66</v>
      </c>
      <c r="L399" s="7">
        <f t="shared" si="1"/>
        <v>163</v>
      </c>
      <c r="M399" s="7"/>
    </row>
    <row r="400" ht="22.5" customHeight="1">
      <c r="A400" s="4" t="s">
        <v>902</v>
      </c>
      <c r="B400" s="5">
        <v>123064.0</v>
      </c>
      <c r="C400" s="4" t="s">
        <v>900</v>
      </c>
      <c r="D400" s="6">
        <v>-0.08</v>
      </c>
      <c r="E400" s="5">
        <v>2000.0</v>
      </c>
      <c r="F400" s="4" t="s">
        <v>157</v>
      </c>
      <c r="G400" s="4" t="s">
        <v>66</v>
      </c>
      <c r="H400" s="4" t="s">
        <v>903</v>
      </c>
      <c r="I400" s="7"/>
      <c r="K400" s="4" t="s">
        <v>66</v>
      </c>
      <c r="L400" s="7">
        <f t="shared" si="1"/>
        <v>163</v>
      </c>
      <c r="M400" s="7"/>
    </row>
    <row r="401" ht="22.5" customHeight="1">
      <c r="A401" s="4" t="s">
        <v>904</v>
      </c>
      <c r="B401" s="5">
        <v>130300.0</v>
      </c>
      <c r="C401" s="4" t="s">
        <v>905</v>
      </c>
      <c r="D401" s="6">
        <v>-0.1</v>
      </c>
      <c r="E401" s="5">
        <v>10000.0</v>
      </c>
      <c r="F401" s="4" t="s">
        <v>157</v>
      </c>
      <c r="G401" s="4" t="s">
        <v>66</v>
      </c>
      <c r="H401" s="4" t="s">
        <v>906</v>
      </c>
      <c r="I401" s="7"/>
      <c r="K401" s="4" t="s">
        <v>66</v>
      </c>
      <c r="L401" s="7">
        <f t="shared" si="1"/>
        <v>163</v>
      </c>
      <c r="M401" s="7"/>
    </row>
    <row r="402" ht="22.5" customHeight="1">
      <c r="A402" s="4" t="s">
        <v>907</v>
      </c>
      <c r="B402" s="5">
        <v>108885.0</v>
      </c>
      <c r="C402" s="4" t="s">
        <v>908</v>
      </c>
      <c r="D402" s="6">
        <v>-0.1</v>
      </c>
      <c r="E402" s="5">
        <v>118.0</v>
      </c>
      <c r="F402" s="4" t="s">
        <v>198</v>
      </c>
      <c r="G402" s="4" t="s">
        <v>18</v>
      </c>
      <c r="H402" s="4" t="s">
        <v>909</v>
      </c>
      <c r="I402" s="7"/>
      <c r="K402" s="4" t="s">
        <v>66</v>
      </c>
      <c r="L402" s="7">
        <f t="shared" si="1"/>
        <v>163</v>
      </c>
      <c r="M402" s="7"/>
    </row>
    <row r="403" ht="22.5" customHeight="1">
      <c r="A403" s="4" t="s">
        <v>910</v>
      </c>
      <c r="B403" s="5">
        <v>423200.0</v>
      </c>
      <c r="C403" s="4" t="s">
        <v>784</v>
      </c>
      <c r="D403" s="6">
        <v>-0.1</v>
      </c>
      <c r="E403" s="5">
        <v>148.0</v>
      </c>
      <c r="F403" s="4" t="s">
        <v>324</v>
      </c>
      <c r="G403" s="4" t="s">
        <v>147</v>
      </c>
      <c r="H403" s="4" t="s">
        <v>911</v>
      </c>
      <c r="I403" s="7"/>
      <c r="K403" s="4" t="s">
        <v>66</v>
      </c>
      <c r="L403" s="7">
        <f t="shared" si="1"/>
        <v>163</v>
      </c>
      <c r="M403" s="7"/>
    </row>
    <row r="404" ht="22.5" customHeight="1">
      <c r="A404" s="4" t="s">
        <v>912</v>
      </c>
      <c r="B404" s="5">
        <v>163000.0</v>
      </c>
      <c r="C404" s="4" t="s">
        <v>913</v>
      </c>
      <c r="D404" s="6">
        <v>-0.1</v>
      </c>
      <c r="E404" s="5">
        <v>30.0</v>
      </c>
      <c r="F404" s="4" t="s">
        <v>569</v>
      </c>
      <c r="G404" s="4" t="s">
        <v>37</v>
      </c>
      <c r="H404" s="4" t="s">
        <v>914</v>
      </c>
      <c r="I404" s="7"/>
      <c r="K404" s="4" t="s">
        <v>66</v>
      </c>
      <c r="L404" s="7">
        <f t="shared" si="1"/>
        <v>163</v>
      </c>
      <c r="M404" s="7"/>
    </row>
    <row r="405" ht="22.5" customHeight="1">
      <c r="A405" s="4" t="s">
        <v>915</v>
      </c>
      <c r="B405" s="5">
        <v>163000.0</v>
      </c>
      <c r="C405" s="4" t="s">
        <v>913</v>
      </c>
      <c r="D405" s="6">
        <v>-0.1</v>
      </c>
      <c r="E405" s="5">
        <v>5.0</v>
      </c>
      <c r="F405" s="4" t="s">
        <v>569</v>
      </c>
      <c r="G405" s="4" t="s">
        <v>37</v>
      </c>
      <c r="H405" s="4" t="s">
        <v>916</v>
      </c>
      <c r="I405" s="7"/>
      <c r="K405" s="4" t="s">
        <v>66</v>
      </c>
      <c r="L405" s="7">
        <f t="shared" si="1"/>
        <v>163</v>
      </c>
      <c r="M405" s="7"/>
    </row>
    <row r="406" ht="22.5" customHeight="1">
      <c r="A406" s="4" t="s">
        <v>917</v>
      </c>
      <c r="B406" s="5">
        <v>109900.0</v>
      </c>
      <c r="C406" s="4" t="s">
        <v>908</v>
      </c>
      <c r="D406" s="6">
        <v>-0.12</v>
      </c>
      <c r="E406" s="5">
        <v>25.0</v>
      </c>
      <c r="F406" s="4" t="s">
        <v>101</v>
      </c>
      <c r="G406" s="4" t="s">
        <v>37</v>
      </c>
      <c r="H406" s="4" t="s">
        <v>918</v>
      </c>
      <c r="I406" s="7"/>
      <c r="K406" s="4" t="s">
        <v>66</v>
      </c>
      <c r="L406" s="7">
        <f t="shared" si="1"/>
        <v>163</v>
      </c>
      <c r="M406" s="7"/>
    </row>
    <row r="407" ht="22.5" customHeight="1">
      <c r="A407" s="4" t="s">
        <v>919</v>
      </c>
      <c r="B407" s="5">
        <v>165000.0</v>
      </c>
      <c r="C407" s="4" t="s">
        <v>920</v>
      </c>
      <c r="D407" s="6">
        <v>-0.13</v>
      </c>
      <c r="E407" s="5">
        <v>76.0</v>
      </c>
      <c r="F407" s="4" t="s">
        <v>198</v>
      </c>
      <c r="G407" s="4" t="s">
        <v>37</v>
      </c>
      <c r="H407" s="4" t="s">
        <v>921</v>
      </c>
      <c r="I407" s="7"/>
      <c r="K407" s="4" t="s">
        <v>66</v>
      </c>
      <c r="L407" s="7">
        <f t="shared" si="1"/>
        <v>163</v>
      </c>
      <c r="M407" s="7"/>
    </row>
    <row r="408" ht="22.5" customHeight="1">
      <c r="A408" s="4" t="s">
        <v>922</v>
      </c>
      <c r="B408" s="5">
        <v>42957.0</v>
      </c>
      <c r="C408" s="4" t="s">
        <v>923</v>
      </c>
      <c r="D408" s="6">
        <v>-0.14</v>
      </c>
      <c r="E408" s="5">
        <v>2000.0</v>
      </c>
      <c r="F408" s="4" t="s">
        <v>79</v>
      </c>
      <c r="G408" s="4" t="s">
        <v>41</v>
      </c>
      <c r="H408" s="4" t="s">
        <v>924</v>
      </c>
      <c r="I408" s="7"/>
      <c r="K408" s="4" t="s">
        <v>66</v>
      </c>
      <c r="L408" s="7">
        <f t="shared" si="1"/>
        <v>163</v>
      </c>
      <c r="M408" s="7"/>
    </row>
    <row r="409" ht="22.5" customHeight="1">
      <c r="A409" s="4" t="s">
        <v>925</v>
      </c>
      <c r="B409" s="5">
        <v>129950.0</v>
      </c>
      <c r="C409" s="4" t="s">
        <v>926</v>
      </c>
      <c r="D409" s="6">
        <v>-0.15</v>
      </c>
      <c r="E409" s="5">
        <v>1000.0</v>
      </c>
      <c r="F409" s="4" t="s">
        <v>198</v>
      </c>
      <c r="G409" s="4" t="s">
        <v>37</v>
      </c>
      <c r="H409" s="4" t="s">
        <v>927</v>
      </c>
      <c r="I409" s="7"/>
      <c r="K409" s="4" t="s">
        <v>66</v>
      </c>
      <c r="L409" s="7">
        <f t="shared" si="1"/>
        <v>163</v>
      </c>
      <c r="M409" s="7"/>
    </row>
    <row r="410" ht="22.5" customHeight="1">
      <c r="A410" s="4" t="s">
        <v>928</v>
      </c>
      <c r="B410" s="5">
        <v>130000.0</v>
      </c>
      <c r="C410" s="4" t="s">
        <v>926</v>
      </c>
      <c r="D410" s="6">
        <v>-0.15</v>
      </c>
      <c r="E410" s="5">
        <v>709.0</v>
      </c>
      <c r="F410" s="4" t="s">
        <v>324</v>
      </c>
      <c r="G410" s="4" t="s">
        <v>37</v>
      </c>
      <c r="H410" s="4" t="s">
        <v>929</v>
      </c>
      <c r="I410" s="7"/>
      <c r="K410" s="4" t="s">
        <v>66</v>
      </c>
      <c r="L410" s="7">
        <f t="shared" si="1"/>
        <v>163</v>
      </c>
      <c r="M410" s="7"/>
    </row>
    <row r="411" ht="22.5" customHeight="1">
      <c r="A411" s="4" t="s">
        <v>930</v>
      </c>
      <c r="B411" s="5">
        <v>221000.0</v>
      </c>
      <c r="C411" s="4" t="s">
        <v>931</v>
      </c>
      <c r="D411" s="6">
        <v>-0.15</v>
      </c>
      <c r="E411" s="5">
        <v>16.0</v>
      </c>
      <c r="F411" s="4" t="s">
        <v>324</v>
      </c>
      <c r="G411" s="4" t="s">
        <v>147</v>
      </c>
      <c r="H411" s="4" t="s">
        <v>932</v>
      </c>
      <c r="I411" s="7"/>
      <c r="K411" s="4" t="s">
        <v>66</v>
      </c>
      <c r="L411" s="7">
        <f t="shared" si="1"/>
        <v>163</v>
      </c>
      <c r="M411" s="7"/>
    </row>
    <row r="412" ht="22.5" customHeight="1">
      <c r="A412" s="4" t="s">
        <v>933</v>
      </c>
      <c r="B412" s="5">
        <v>71999.0</v>
      </c>
      <c r="C412" s="4" t="s">
        <v>934</v>
      </c>
      <c r="D412" s="6">
        <v>-0.16</v>
      </c>
      <c r="E412" s="5">
        <v>8000.0</v>
      </c>
      <c r="F412" s="4" t="s">
        <v>324</v>
      </c>
      <c r="G412" s="4" t="s">
        <v>41</v>
      </c>
      <c r="H412" s="4" t="s">
        <v>935</v>
      </c>
      <c r="I412" s="7"/>
      <c r="K412" s="4" t="s">
        <v>66</v>
      </c>
      <c r="L412" s="7">
        <f t="shared" si="1"/>
        <v>163</v>
      </c>
      <c r="M412" s="7"/>
    </row>
    <row r="413" ht="22.5" customHeight="1">
      <c r="A413" s="4" t="s">
        <v>936</v>
      </c>
      <c r="B413" s="5">
        <v>226000.0</v>
      </c>
      <c r="C413" s="4" t="s">
        <v>931</v>
      </c>
      <c r="D413" s="6">
        <v>-0.17</v>
      </c>
      <c r="E413" s="5">
        <v>10.0</v>
      </c>
      <c r="F413" s="4" t="s">
        <v>114</v>
      </c>
      <c r="G413" s="4" t="s">
        <v>37</v>
      </c>
      <c r="H413" s="4" t="s">
        <v>937</v>
      </c>
      <c r="I413" s="7"/>
      <c r="K413" s="4" t="s">
        <v>66</v>
      </c>
      <c r="L413" s="7">
        <f t="shared" si="1"/>
        <v>163</v>
      </c>
      <c r="M413" s="7"/>
    </row>
    <row r="414" ht="22.5" customHeight="1">
      <c r="A414" s="4" t="s">
        <v>938</v>
      </c>
      <c r="B414" s="5">
        <v>128000.0</v>
      </c>
      <c r="C414" s="4" t="s">
        <v>900</v>
      </c>
      <c r="D414" s="6">
        <v>-0.18</v>
      </c>
      <c r="E414" s="5">
        <v>130.0</v>
      </c>
      <c r="F414" s="4" t="s">
        <v>157</v>
      </c>
      <c r="G414" s="4" t="s">
        <v>66</v>
      </c>
      <c r="H414" s="4" t="s">
        <v>939</v>
      </c>
      <c r="I414" s="7"/>
      <c r="K414" s="4" t="s">
        <v>66</v>
      </c>
      <c r="L414" s="7">
        <f t="shared" si="1"/>
        <v>163</v>
      </c>
      <c r="M414" s="7"/>
    </row>
    <row r="415" ht="22.5" customHeight="1">
      <c r="A415" s="4" t="s">
        <v>940</v>
      </c>
      <c r="B415" s="5">
        <v>600000.0</v>
      </c>
      <c r="C415" s="4" t="s">
        <v>941</v>
      </c>
      <c r="D415" s="6">
        <v>-0.18</v>
      </c>
      <c r="E415" s="5">
        <v>571.0</v>
      </c>
      <c r="F415" s="4" t="s">
        <v>157</v>
      </c>
      <c r="G415" s="4" t="s">
        <v>41</v>
      </c>
      <c r="H415" s="4" t="s">
        <v>942</v>
      </c>
      <c r="I415" s="7"/>
      <c r="K415" s="4" t="s">
        <v>66</v>
      </c>
      <c r="L415" s="7">
        <f t="shared" si="1"/>
        <v>163</v>
      </c>
      <c r="M415" s="7"/>
    </row>
    <row r="416" ht="22.5" customHeight="1">
      <c r="A416" s="4" t="s">
        <v>943</v>
      </c>
      <c r="B416" s="5">
        <v>164975.0</v>
      </c>
      <c r="C416" s="4" t="s">
        <v>944</v>
      </c>
      <c r="D416" s="6">
        <v>-0.18</v>
      </c>
      <c r="E416" s="5">
        <v>2.0</v>
      </c>
      <c r="F416" s="4" t="s">
        <v>569</v>
      </c>
      <c r="G416" s="4" t="s">
        <v>12</v>
      </c>
      <c r="H416" s="4" t="s">
        <v>945</v>
      </c>
      <c r="I416" s="7"/>
      <c r="K416" s="4" t="s">
        <v>66</v>
      </c>
      <c r="L416" s="7">
        <f t="shared" si="1"/>
        <v>163</v>
      </c>
      <c r="M416" s="7"/>
    </row>
    <row r="417" ht="22.5" customHeight="1">
      <c r="A417" s="4" t="s">
        <v>946</v>
      </c>
      <c r="B417" s="5">
        <v>480000.0</v>
      </c>
      <c r="C417" s="4" t="s">
        <v>947</v>
      </c>
      <c r="D417" s="6">
        <v>-0.21</v>
      </c>
      <c r="E417" s="5">
        <v>2000.0</v>
      </c>
      <c r="F417" s="4" t="s">
        <v>114</v>
      </c>
      <c r="G417" s="4" t="s">
        <v>41</v>
      </c>
      <c r="H417" s="4" t="s">
        <v>948</v>
      </c>
      <c r="I417" s="7"/>
      <c r="K417" s="4" t="s">
        <v>66</v>
      </c>
      <c r="L417" s="7">
        <f t="shared" si="1"/>
        <v>163</v>
      </c>
      <c r="M417" s="7"/>
    </row>
    <row r="418" ht="22.5" customHeight="1">
      <c r="A418" s="4" t="s">
        <v>949</v>
      </c>
      <c r="B418" s="5">
        <v>57000.0</v>
      </c>
      <c r="C418" s="4" t="s">
        <v>950</v>
      </c>
      <c r="D418" s="6">
        <v>-0.21</v>
      </c>
      <c r="E418" s="5">
        <v>192.0</v>
      </c>
      <c r="F418" s="4" t="s">
        <v>324</v>
      </c>
      <c r="G418" s="4" t="s">
        <v>66</v>
      </c>
      <c r="H418" s="4" t="s">
        <v>951</v>
      </c>
      <c r="I418" s="7"/>
      <c r="K418" s="4" t="s">
        <v>66</v>
      </c>
      <c r="L418" s="7">
        <f t="shared" si="1"/>
        <v>163</v>
      </c>
      <c r="M418" s="7"/>
    </row>
    <row r="419" ht="22.5" customHeight="1">
      <c r="A419" s="4" t="s">
        <v>952</v>
      </c>
      <c r="B419" s="5">
        <v>45000.0</v>
      </c>
      <c r="C419" s="4" t="s">
        <v>953</v>
      </c>
      <c r="D419" s="6">
        <v>-0.22</v>
      </c>
      <c r="E419" s="5">
        <v>24.0</v>
      </c>
      <c r="F419" s="4" t="s">
        <v>70</v>
      </c>
      <c r="G419" s="4" t="s">
        <v>41</v>
      </c>
      <c r="H419" s="4" t="s">
        <v>954</v>
      </c>
      <c r="I419" s="7"/>
      <c r="K419" s="4" t="s">
        <v>66</v>
      </c>
      <c r="L419" s="7">
        <f t="shared" si="1"/>
        <v>163</v>
      </c>
      <c r="M419" s="7"/>
    </row>
    <row r="420" ht="22.5" customHeight="1">
      <c r="A420" s="4" t="s">
        <v>955</v>
      </c>
      <c r="B420" s="5">
        <v>99000.0</v>
      </c>
      <c r="C420" s="4" t="s">
        <v>857</v>
      </c>
      <c r="D420" s="6">
        <v>-0.22</v>
      </c>
      <c r="E420" s="5">
        <v>628.0</v>
      </c>
      <c r="F420" s="4" t="s">
        <v>198</v>
      </c>
      <c r="G420" s="4" t="s">
        <v>66</v>
      </c>
      <c r="H420" s="4" t="s">
        <v>956</v>
      </c>
      <c r="I420" s="7"/>
      <c r="K420" s="4" t="s">
        <v>66</v>
      </c>
      <c r="L420" s="7">
        <f t="shared" si="1"/>
        <v>163</v>
      </c>
      <c r="M420" s="7"/>
    </row>
    <row r="421" ht="22.5" customHeight="1">
      <c r="A421" s="4" t="s">
        <v>957</v>
      </c>
      <c r="B421" s="5">
        <v>69999.0</v>
      </c>
      <c r="C421" s="4" t="s">
        <v>958</v>
      </c>
      <c r="D421" s="6">
        <v>-0.22</v>
      </c>
      <c r="E421" s="5">
        <v>766.0</v>
      </c>
      <c r="F421" s="4" t="s">
        <v>324</v>
      </c>
      <c r="G421" s="4" t="s">
        <v>66</v>
      </c>
      <c r="H421" s="4" t="s">
        <v>959</v>
      </c>
      <c r="I421" s="7"/>
      <c r="K421" s="4" t="s">
        <v>66</v>
      </c>
      <c r="L421" s="7">
        <f t="shared" si="1"/>
        <v>163</v>
      </c>
      <c r="M421" s="7"/>
    </row>
    <row r="422" ht="22.5" customHeight="1">
      <c r="A422" s="4" t="s">
        <v>960</v>
      </c>
      <c r="B422" s="5">
        <v>177146.0</v>
      </c>
      <c r="C422" s="4" t="s">
        <v>961</v>
      </c>
      <c r="D422" s="6">
        <v>-0.22</v>
      </c>
      <c r="E422" s="5">
        <v>26.0</v>
      </c>
      <c r="F422" s="4" t="s">
        <v>324</v>
      </c>
      <c r="G422" s="4" t="s">
        <v>37</v>
      </c>
      <c r="H422" s="4" t="s">
        <v>962</v>
      </c>
      <c r="I422" s="7"/>
      <c r="K422" s="4" t="s">
        <v>66</v>
      </c>
      <c r="L422" s="7">
        <f t="shared" si="1"/>
        <v>163</v>
      </c>
      <c r="M422" s="7"/>
    </row>
    <row r="423" ht="22.5" customHeight="1">
      <c r="A423" s="4" t="s">
        <v>58</v>
      </c>
      <c r="B423" s="5">
        <v>310999.0</v>
      </c>
      <c r="C423" s="4" t="s">
        <v>963</v>
      </c>
      <c r="D423" s="6">
        <v>-0.22</v>
      </c>
      <c r="E423" s="5">
        <v>73.0</v>
      </c>
      <c r="F423" s="4" t="s">
        <v>476</v>
      </c>
      <c r="G423" s="4" t="s">
        <v>134</v>
      </c>
      <c r="H423" s="4" t="s">
        <v>964</v>
      </c>
      <c r="I423" s="7"/>
      <c r="K423" s="4" t="s">
        <v>66</v>
      </c>
      <c r="L423" s="7">
        <f t="shared" si="1"/>
        <v>163</v>
      </c>
      <c r="M423" s="7"/>
    </row>
    <row r="424" ht="22.5" customHeight="1">
      <c r="A424" s="4" t="s">
        <v>965</v>
      </c>
      <c r="B424" s="5">
        <v>601000.0</v>
      </c>
      <c r="C424" s="4" t="s">
        <v>966</v>
      </c>
      <c r="D424" s="6">
        <v>-0.22</v>
      </c>
      <c r="E424" s="5">
        <v>12.0</v>
      </c>
      <c r="F424" s="4" t="s">
        <v>569</v>
      </c>
      <c r="G424" s="4" t="s">
        <v>41</v>
      </c>
      <c r="H424" s="4" t="s">
        <v>967</v>
      </c>
      <c r="I424" s="7"/>
      <c r="K424" s="4" t="s">
        <v>66</v>
      </c>
      <c r="L424" s="7">
        <f t="shared" si="1"/>
        <v>163</v>
      </c>
      <c r="M424" s="7"/>
    </row>
    <row r="425" ht="22.5" customHeight="1">
      <c r="A425" s="4" t="s">
        <v>968</v>
      </c>
      <c r="B425" s="5">
        <v>88000.0</v>
      </c>
      <c r="C425" s="4" t="s">
        <v>969</v>
      </c>
      <c r="D425" s="6">
        <v>-0.23</v>
      </c>
      <c r="E425" s="5">
        <v>245.0</v>
      </c>
      <c r="F425" s="4" t="s">
        <v>198</v>
      </c>
      <c r="G425" s="4" t="s">
        <v>66</v>
      </c>
      <c r="H425" s="4" t="s">
        <v>970</v>
      </c>
      <c r="I425" s="7"/>
      <c r="K425" s="4" t="s">
        <v>66</v>
      </c>
      <c r="L425" s="7">
        <f t="shared" si="1"/>
        <v>163</v>
      </c>
      <c r="M425" s="7"/>
    </row>
    <row r="426" ht="22.5" customHeight="1">
      <c r="A426" s="4" t="s">
        <v>971</v>
      </c>
      <c r="B426" s="5">
        <v>196000.0</v>
      </c>
      <c r="C426" s="4" t="s">
        <v>972</v>
      </c>
      <c r="D426" s="6">
        <v>-0.23</v>
      </c>
      <c r="E426" s="5">
        <v>3.0</v>
      </c>
      <c r="F426" s="4" t="s">
        <v>569</v>
      </c>
      <c r="G426" s="4" t="s">
        <v>37</v>
      </c>
      <c r="H426" s="4" t="s">
        <v>973</v>
      </c>
      <c r="I426" s="7"/>
      <c r="K426" s="4" t="s">
        <v>66</v>
      </c>
      <c r="L426" s="7">
        <f t="shared" si="1"/>
        <v>163</v>
      </c>
      <c r="M426" s="7"/>
    </row>
    <row r="427" ht="22.5" customHeight="1">
      <c r="A427" s="4" t="s">
        <v>974</v>
      </c>
      <c r="B427" s="5">
        <v>258000.0</v>
      </c>
      <c r="C427" s="4" t="s">
        <v>975</v>
      </c>
      <c r="D427" s="6">
        <v>-0.24</v>
      </c>
      <c r="E427" s="5">
        <v>6.0</v>
      </c>
      <c r="F427" s="4" t="s">
        <v>59</v>
      </c>
      <c r="G427" s="4" t="s">
        <v>41</v>
      </c>
      <c r="H427" s="4" t="s">
        <v>976</v>
      </c>
      <c r="I427" s="7"/>
      <c r="K427" s="4" t="s">
        <v>66</v>
      </c>
      <c r="L427" s="7">
        <f t="shared" si="1"/>
        <v>163</v>
      </c>
      <c r="M427" s="7"/>
    </row>
    <row r="428" ht="22.5" customHeight="1">
      <c r="A428" s="4" t="s">
        <v>977</v>
      </c>
      <c r="B428" s="5">
        <v>89000.0</v>
      </c>
      <c r="C428" s="4" t="s">
        <v>969</v>
      </c>
      <c r="D428" s="6">
        <v>-0.24</v>
      </c>
      <c r="E428" s="5">
        <v>34.0</v>
      </c>
      <c r="F428" s="4" t="s">
        <v>101</v>
      </c>
      <c r="G428" s="4" t="s">
        <v>66</v>
      </c>
      <c r="H428" s="4" t="s">
        <v>978</v>
      </c>
      <c r="I428" s="7"/>
      <c r="K428" s="4" t="s">
        <v>66</v>
      </c>
      <c r="L428" s="7">
        <f t="shared" si="1"/>
        <v>163</v>
      </c>
      <c r="M428" s="7"/>
    </row>
    <row r="429" ht="22.5" customHeight="1">
      <c r="A429" s="4" t="s">
        <v>979</v>
      </c>
      <c r="B429" s="5">
        <v>120000.0</v>
      </c>
      <c r="C429" s="4" t="s">
        <v>980</v>
      </c>
      <c r="D429" s="6">
        <v>-0.24</v>
      </c>
      <c r="E429" s="5">
        <v>130.0</v>
      </c>
      <c r="F429" s="4" t="s">
        <v>157</v>
      </c>
      <c r="G429" s="4" t="s">
        <v>66</v>
      </c>
      <c r="H429" s="4" t="s">
        <v>981</v>
      </c>
      <c r="I429" s="7"/>
      <c r="K429" s="4" t="s">
        <v>66</v>
      </c>
      <c r="L429" s="7">
        <f t="shared" si="1"/>
        <v>163</v>
      </c>
      <c r="M429" s="7"/>
    </row>
    <row r="430" ht="22.5" customHeight="1">
      <c r="A430" s="4" t="s">
        <v>982</v>
      </c>
      <c r="B430" s="5">
        <v>250000.0</v>
      </c>
      <c r="C430" s="4" t="s">
        <v>983</v>
      </c>
      <c r="D430" s="6">
        <v>-0.24</v>
      </c>
      <c r="E430" s="5">
        <v>8.0</v>
      </c>
      <c r="F430" s="4" t="s">
        <v>198</v>
      </c>
      <c r="G430" s="4" t="s">
        <v>37</v>
      </c>
      <c r="H430" s="4" t="s">
        <v>984</v>
      </c>
      <c r="I430" s="7"/>
      <c r="K430" s="4" t="s">
        <v>66</v>
      </c>
      <c r="L430" s="7">
        <f t="shared" si="1"/>
        <v>163</v>
      </c>
      <c r="M430" s="7"/>
    </row>
    <row r="431" ht="22.5" customHeight="1">
      <c r="A431" s="4" t="s">
        <v>985</v>
      </c>
      <c r="B431" s="5">
        <v>167500.0</v>
      </c>
      <c r="C431" s="4" t="s">
        <v>986</v>
      </c>
      <c r="D431" s="6">
        <v>-0.24</v>
      </c>
      <c r="E431" s="5">
        <v>36.0</v>
      </c>
      <c r="F431" s="4" t="s">
        <v>324</v>
      </c>
      <c r="G431" s="4" t="s">
        <v>37</v>
      </c>
      <c r="H431" s="4" t="s">
        <v>987</v>
      </c>
      <c r="I431" s="7"/>
      <c r="K431" s="4" t="s">
        <v>66</v>
      </c>
      <c r="L431" s="7">
        <f t="shared" si="1"/>
        <v>163</v>
      </c>
      <c r="M431" s="7"/>
    </row>
    <row r="432" ht="22.5" customHeight="1">
      <c r="A432" s="4" t="s">
        <v>988</v>
      </c>
      <c r="B432" s="5">
        <v>190000.0</v>
      </c>
      <c r="C432" s="4" t="s">
        <v>989</v>
      </c>
      <c r="D432" s="6">
        <v>-0.24</v>
      </c>
      <c r="E432" s="5">
        <v>81.0</v>
      </c>
      <c r="F432" s="4" t="s">
        <v>324</v>
      </c>
      <c r="G432" s="4" t="s">
        <v>66</v>
      </c>
      <c r="H432" s="4" t="s">
        <v>990</v>
      </c>
      <c r="I432" s="7"/>
      <c r="K432" s="4" t="s">
        <v>66</v>
      </c>
      <c r="L432" s="7">
        <f t="shared" si="1"/>
        <v>163</v>
      </c>
      <c r="M432" s="7"/>
    </row>
    <row r="433" ht="22.5" customHeight="1">
      <c r="A433" s="4" t="s">
        <v>991</v>
      </c>
      <c r="B433" s="5">
        <v>250000.0</v>
      </c>
      <c r="C433" s="4" t="s">
        <v>931</v>
      </c>
      <c r="D433" s="6">
        <v>-0.24</v>
      </c>
      <c r="E433" s="5">
        <v>214.0</v>
      </c>
      <c r="F433" s="4" t="s">
        <v>476</v>
      </c>
      <c r="G433" s="4" t="s">
        <v>66</v>
      </c>
      <c r="H433" s="4" t="s">
        <v>992</v>
      </c>
      <c r="I433" s="7"/>
      <c r="K433" s="4" t="s">
        <v>66</v>
      </c>
      <c r="L433" s="7">
        <f t="shared" si="1"/>
        <v>163</v>
      </c>
      <c r="M433" s="7"/>
    </row>
    <row r="434" ht="22.5" customHeight="1">
      <c r="A434" s="4" t="s">
        <v>993</v>
      </c>
      <c r="B434" s="5">
        <v>78300.0</v>
      </c>
      <c r="C434" s="4" t="s">
        <v>958</v>
      </c>
      <c r="D434" s="6">
        <v>-0.25</v>
      </c>
      <c r="E434" s="5">
        <v>54.0</v>
      </c>
      <c r="F434" s="4" t="s">
        <v>324</v>
      </c>
      <c r="G434" s="4" t="s">
        <v>37</v>
      </c>
      <c r="H434" s="4" t="s">
        <v>994</v>
      </c>
      <c r="I434" s="7"/>
      <c r="K434" s="4" t="s">
        <v>66</v>
      </c>
      <c r="L434" s="7">
        <f t="shared" si="1"/>
        <v>163</v>
      </c>
      <c r="M434" s="7"/>
    </row>
    <row r="435" ht="22.5" customHeight="1">
      <c r="A435" s="4" t="s">
        <v>995</v>
      </c>
      <c r="B435" s="5">
        <v>44999.0</v>
      </c>
      <c r="C435" s="4" t="s">
        <v>996</v>
      </c>
      <c r="D435" s="6">
        <v>-0.27</v>
      </c>
      <c r="E435" s="5">
        <v>665.0</v>
      </c>
      <c r="F435" s="4" t="s">
        <v>157</v>
      </c>
      <c r="G435" s="4" t="s">
        <v>41</v>
      </c>
      <c r="H435" s="4" t="s">
        <v>997</v>
      </c>
      <c r="I435" s="7"/>
      <c r="K435" s="4" t="s">
        <v>66</v>
      </c>
      <c r="L435" s="7">
        <f t="shared" si="1"/>
        <v>163</v>
      </c>
      <c r="M435" s="7"/>
    </row>
    <row r="436" ht="22.5" customHeight="1">
      <c r="A436" s="4" t="s">
        <v>998</v>
      </c>
      <c r="B436" s="5">
        <v>438900.0</v>
      </c>
      <c r="C436" s="4" t="s">
        <v>999</v>
      </c>
      <c r="D436" s="6">
        <v>-0.27</v>
      </c>
      <c r="E436" s="5">
        <v>547.0</v>
      </c>
      <c r="F436" s="4" t="s">
        <v>198</v>
      </c>
      <c r="G436" s="4" t="s">
        <v>12</v>
      </c>
      <c r="H436" s="4" t="s">
        <v>1000</v>
      </c>
      <c r="I436" s="7"/>
      <c r="K436" s="4" t="s">
        <v>66</v>
      </c>
      <c r="L436" s="7">
        <f t="shared" si="1"/>
        <v>163</v>
      </c>
      <c r="M436" s="7"/>
    </row>
    <row r="437" ht="22.5" customHeight="1">
      <c r="A437" s="4" t="s">
        <v>1001</v>
      </c>
      <c r="B437" s="5">
        <v>92788.0</v>
      </c>
      <c r="C437" s="4" t="s">
        <v>969</v>
      </c>
      <c r="D437" s="6">
        <v>-0.27</v>
      </c>
      <c r="E437" s="5">
        <v>149.0</v>
      </c>
      <c r="F437" s="4" t="s">
        <v>476</v>
      </c>
      <c r="G437" s="4" t="s">
        <v>66</v>
      </c>
      <c r="H437" s="4" t="s">
        <v>1002</v>
      </c>
      <c r="I437" s="7"/>
      <c r="K437" s="4" t="s">
        <v>66</v>
      </c>
      <c r="L437" s="7">
        <f t="shared" si="1"/>
        <v>163</v>
      </c>
      <c r="M437" s="7"/>
    </row>
    <row r="438" ht="22.5" customHeight="1">
      <c r="A438" s="4" t="s">
        <v>1003</v>
      </c>
      <c r="B438" s="5">
        <v>64700.0</v>
      </c>
      <c r="C438" s="4" t="s">
        <v>1004</v>
      </c>
      <c r="D438" s="6">
        <v>-0.28</v>
      </c>
      <c r="E438" s="5">
        <v>37.0</v>
      </c>
      <c r="F438" s="4" t="s">
        <v>101</v>
      </c>
      <c r="G438" s="4" t="s">
        <v>41</v>
      </c>
      <c r="H438" s="4" t="s">
        <v>1005</v>
      </c>
      <c r="I438" s="7"/>
      <c r="K438" s="4" t="s">
        <v>66</v>
      </c>
      <c r="L438" s="7">
        <f t="shared" si="1"/>
        <v>163</v>
      </c>
      <c r="M438" s="7"/>
    </row>
    <row r="439" ht="22.5" customHeight="1">
      <c r="A439" s="4" t="s">
        <v>1006</v>
      </c>
      <c r="B439" s="5">
        <v>543200.0</v>
      </c>
      <c r="C439" s="4" t="s">
        <v>1007</v>
      </c>
      <c r="D439" s="6">
        <v>-0.28</v>
      </c>
      <c r="E439" s="5">
        <v>20.0</v>
      </c>
      <c r="F439" s="4" t="s">
        <v>198</v>
      </c>
      <c r="G439" s="4" t="s">
        <v>41</v>
      </c>
      <c r="H439" s="4" t="s">
        <v>1008</v>
      </c>
      <c r="I439" s="7"/>
      <c r="K439" s="4" t="s">
        <v>66</v>
      </c>
      <c r="L439" s="7">
        <f t="shared" si="1"/>
        <v>163</v>
      </c>
      <c r="M439" s="7"/>
    </row>
    <row r="440" ht="22.5" customHeight="1">
      <c r="A440" s="4" t="s">
        <v>1009</v>
      </c>
      <c r="B440" s="5">
        <v>63500.0</v>
      </c>
      <c r="C440" s="4" t="s">
        <v>1010</v>
      </c>
      <c r="D440" s="6">
        <v>-0.29</v>
      </c>
      <c r="E440" s="5">
        <v>61.0</v>
      </c>
      <c r="F440" s="4" t="s">
        <v>101</v>
      </c>
      <c r="G440" s="4" t="s">
        <v>37</v>
      </c>
      <c r="H440" s="4" t="s">
        <v>1011</v>
      </c>
      <c r="I440" s="7"/>
      <c r="K440" s="4" t="s">
        <v>66</v>
      </c>
      <c r="L440" s="7">
        <f t="shared" si="1"/>
        <v>163</v>
      </c>
      <c r="M440" s="7"/>
    </row>
    <row r="441" ht="22.5" customHeight="1">
      <c r="A441" s="4" t="s">
        <v>1012</v>
      </c>
      <c r="B441" s="5">
        <v>90000.0</v>
      </c>
      <c r="C441" s="4" t="s">
        <v>1013</v>
      </c>
      <c r="D441" s="6">
        <v>-0.29</v>
      </c>
      <c r="E441" s="5">
        <v>2000.0</v>
      </c>
      <c r="F441" s="4" t="s">
        <v>324</v>
      </c>
      <c r="G441" s="4" t="s">
        <v>66</v>
      </c>
      <c r="H441" s="4" t="s">
        <v>1014</v>
      </c>
      <c r="I441" s="7"/>
      <c r="K441" s="4" t="s">
        <v>66</v>
      </c>
      <c r="L441" s="7">
        <f t="shared" si="1"/>
        <v>163</v>
      </c>
      <c r="M441" s="7"/>
    </row>
    <row r="442" ht="22.5" customHeight="1">
      <c r="A442" s="4" t="s">
        <v>1015</v>
      </c>
      <c r="B442" s="5">
        <v>92353.0</v>
      </c>
      <c r="C442" s="4" t="s">
        <v>1016</v>
      </c>
      <c r="D442" s="6">
        <v>-0.3</v>
      </c>
      <c r="E442" s="5">
        <v>27.0</v>
      </c>
      <c r="F442" s="4" t="s">
        <v>114</v>
      </c>
      <c r="G442" s="4" t="s">
        <v>12</v>
      </c>
      <c r="H442" s="4" t="s">
        <v>1017</v>
      </c>
      <c r="I442" s="7"/>
      <c r="K442" s="4" t="s">
        <v>66</v>
      </c>
      <c r="L442" s="7">
        <f t="shared" si="1"/>
        <v>163</v>
      </c>
      <c r="M442" s="7"/>
    </row>
    <row r="443" ht="22.5" customHeight="1">
      <c r="A443" s="4" t="s">
        <v>1018</v>
      </c>
      <c r="B443" s="5">
        <v>79999.0</v>
      </c>
      <c r="C443" s="4" t="s">
        <v>1019</v>
      </c>
      <c r="D443" s="6">
        <v>-0.31</v>
      </c>
      <c r="E443" s="5">
        <v>233.0</v>
      </c>
      <c r="F443" s="4" t="s">
        <v>1020</v>
      </c>
      <c r="G443" s="4" t="s">
        <v>66</v>
      </c>
      <c r="H443" s="4" t="s">
        <v>1021</v>
      </c>
      <c r="I443" s="7"/>
      <c r="K443" s="4" t="s">
        <v>66</v>
      </c>
      <c r="L443" s="7">
        <f t="shared" si="1"/>
        <v>163</v>
      </c>
      <c r="M443" s="7"/>
    </row>
    <row r="444" ht="22.5" customHeight="1">
      <c r="A444" s="4" t="s">
        <v>1022</v>
      </c>
      <c r="B444" s="5">
        <v>116000.0</v>
      </c>
      <c r="C444" s="4" t="s">
        <v>1023</v>
      </c>
      <c r="D444" s="6">
        <v>-0.31</v>
      </c>
      <c r="E444" s="5">
        <v>3000.0</v>
      </c>
      <c r="F444" s="4" t="s">
        <v>198</v>
      </c>
      <c r="G444" s="4" t="s">
        <v>12</v>
      </c>
      <c r="H444" s="4" t="s">
        <v>1024</v>
      </c>
      <c r="I444" s="7"/>
      <c r="K444" s="4" t="s">
        <v>66</v>
      </c>
      <c r="L444" s="7">
        <f t="shared" si="1"/>
        <v>163</v>
      </c>
      <c r="M444" s="7"/>
    </row>
    <row r="445" ht="22.5" customHeight="1">
      <c r="A445" s="4" t="s">
        <v>1025</v>
      </c>
      <c r="B445" s="5">
        <v>170000.0</v>
      </c>
      <c r="C445" s="4" t="s">
        <v>1026</v>
      </c>
      <c r="D445" s="6">
        <v>-0.31</v>
      </c>
      <c r="E445" s="5">
        <v>2000.0</v>
      </c>
      <c r="F445" s="4" t="s">
        <v>198</v>
      </c>
      <c r="G445" s="4" t="s">
        <v>35</v>
      </c>
      <c r="H445" s="4" t="s">
        <v>1027</v>
      </c>
      <c r="I445" s="7"/>
      <c r="K445" s="4" t="s">
        <v>66</v>
      </c>
      <c r="L445" s="7">
        <f t="shared" si="1"/>
        <v>163</v>
      </c>
      <c r="M445" s="7"/>
    </row>
    <row r="446" ht="22.5" customHeight="1">
      <c r="A446" s="4" t="s">
        <v>1028</v>
      </c>
      <c r="B446" s="5">
        <v>119000.0</v>
      </c>
      <c r="C446" s="4" t="s">
        <v>1029</v>
      </c>
      <c r="D446" s="6">
        <v>-0.32</v>
      </c>
      <c r="E446" s="5">
        <v>60.0</v>
      </c>
      <c r="F446" s="4" t="s">
        <v>79</v>
      </c>
      <c r="G446" s="4" t="s">
        <v>66</v>
      </c>
      <c r="H446" s="4" t="s">
        <v>1030</v>
      </c>
      <c r="I446" s="7"/>
      <c r="K446" s="4" t="s">
        <v>66</v>
      </c>
      <c r="L446" s="7">
        <f t="shared" si="1"/>
        <v>163</v>
      </c>
      <c r="M446" s="7"/>
    </row>
    <row r="447" ht="22.5" customHeight="1">
      <c r="A447" s="4" t="s">
        <v>1031</v>
      </c>
      <c r="B447" s="5">
        <v>119266.0</v>
      </c>
      <c r="C447" s="4" t="s">
        <v>1029</v>
      </c>
      <c r="D447" s="6">
        <v>-0.32</v>
      </c>
      <c r="E447" s="5">
        <v>8000.0</v>
      </c>
      <c r="F447" s="4" t="s">
        <v>114</v>
      </c>
      <c r="G447" s="4" t="s">
        <v>66</v>
      </c>
      <c r="H447" s="4" t="s">
        <v>1030</v>
      </c>
      <c r="I447" s="7"/>
      <c r="K447" s="4" t="s">
        <v>66</v>
      </c>
      <c r="L447" s="7">
        <f t="shared" si="1"/>
        <v>163</v>
      </c>
      <c r="M447" s="7"/>
    </row>
    <row r="448" ht="22.5" customHeight="1">
      <c r="A448" s="4" t="s">
        <v>1032</v>
      </c>
      <c r="B448" s="5">
        <v>119300.0</v>
      </c>
      <c r="C448" s="4" t="s">
        <v>1029</v>
      </c>
      <c r="D448" s="6">
        <v>-0.32</v>
      </c>
      <c r="E448" s="5">
        <v>618.0</v>
      </c>
      <c r="F448" s="4" t="s">
        <v>114</v>
      </c>
      <c r="G448" s="4" t="s">
        <v>66</v>
      </c>
      <c r="H448" s="4" t="s">
        <v>1030</v>
      </c>
      <c r="I448" s="7"/>
      <c r="K448" s="4" t="s">
        <v>66</v>
      </c>
      <c r="L448" s="7">
        <f t="shared" si="1"/>
        <v>163</v>
      </c>
      <c r="M448" s="7"/>
    </row>
    <row r="449" ht="22.5" customHeight="1">
      <c r="A449" s="4" t="s">
        <v>1033</v>
      </c>
      <c r="B449" s="5">
        <v>136858.0</v>
      </c>
      <c r="C449" s="4" t="s">
        <v>1034</v>
      </c>
      <c r="D449" s="6">
        <v>-0.32</v>
      </c>
      <c r="E449" s="5">
        <v>482.0</v>
      </c>
      <c r="F449" s="4" t="s">
        <v>324</v>
      </c>
      <c r="G449" s="4" t="s">
        <v>66</v>
      </c>
      <c r="H449" s="4" t="s">
        <v>1035</v>
      </c>
      <c r="I449" s="7"/>
      <c r="K449" s="4" t="s">
        <v>66</v>
      </c>
      <c r="L449" s="7">
        <f t="shared" si="1"/>
        <v>163</v>
      </c>
      <c r="M449" s="7"/>
    </row>
    <row r="450" ht="22.5" customHeight="1">
      <c r="A450" s="4" t="s">
        <v>1036</v>
      </c>
      <c r="B450" s="5">
        <v>109000.0</v>
      </c>
      <c r="C450" s="4" t="s">
        <v>1037</v>
      </c>
      <c r="D450" s="6">
        <v>-0.33</v>
      </c>
      <c r="E450" s="5">
        <v>1000.0</v>
      </c>
      <c r="F450" s="4" t="s">
        <v>157</v>
      </c>
      <c r="G450" s="4" t="s">
        <v>12</v>
      </c>
      <c r="H450" s="4" t="s">
        <v>1038</v>
      </c>
      <c r="I450" s="7"/>
      <c r="K450" s="4" t="s">
        <v>66</v>
      </c>
      <c r="L450" s="7">
        <f t="shared" si="1"/>
        <v>163</v>
      </c>
      <c r="M450" s="7"/>
    </row>
    <row r="451" ht="22.5" customHeight="1">
      <c r="A451" s="4" t="s">
        <v>1039</v>
      </c>
      <c r="B451" s="5">
        <v>94700.0</v>
      </c>
      <c r="C451" s="4" t="s">
        <v>1040</v>
      </c>
      <c r="D451" s="6">
        <v>-0.33</v>
      </c>
      <c r="E451" s="5">
        <v>110.0</v>
      </c>
      <c r="F451" s="4" t="s">
        <v>198</v>
      </c>
      <c r="G451" s="4" t="s">
        <v>66</v>
      </c>
      <c r="H451" s="4" t="s">
        <v>1041</v>
      </c>
      <c r="I451" s="7"/>
      <c r="K451" s="4" t="s">
        <v>66</v>
      </c>
      <c r="L451" s="7">
        <f t="shared" si="1"/>
        <v>163</v>
      </c>
      <c r="M451" s="7"/>
    </row>
    <row r="452" ht="22.5" customHeight="1">
      <c r="A452" s="4" t="s">
        <v>1042</v>
      </c>
      <c r="B452" s="5">
        <v>109000.0</v>
      </c>
      <c r="C452" s="4" t="s">
        <v>1043</v>
      </c>
      <c r="D452" s="6">
        <v>-0.33</v>
      </c>
      <c r="E452" s="5">
        <v>1000.0</v>
      </c>
      <c r="F452" s="4" t="s">
        <v>198</v>
      </c>
      <c r="G452" s="4" t="s">
        <v>66</v>
      </c>
      <c r="H452" s="4" t="s">
        <v>1044</v>
      </c>
      <c r="I452" s="7"/>
      <c r="K452" s="4" t="s">
        <v>66</v>
      </c>
      <c r="L452" s="7">
        <f t="shared" si="1"/>
        <v>163</v>
      </c>
      <c r="M452" s="7"/>
    </row>
    <row r="453" ht="22.5" customHeight="1">
      <c r="A453" s="4" t="s">
        <v>1045</v>
      </c>
      <c r="B453" s="5">
        <v>150000.0</v>
      </c>
      <c r="C453" s="4" t="s">
        <v>1046</v>
      </c>
      <c r="D453" s="6">
        <v>-0.33</v>
      </c>
      <c r="E453" s="5">
        <v>5000.0</v>
      </c>
      <c r="F453" s="4" t="s">
        <v>198</v>
      </c>
      <c r="G453" s="4" t="s">
        <v>37</v>
      </c>
      <c r="H453" s="4" t="s">
        <v>1047</v>
      </c>
      <c r="I453" s="7"/>
      <c r="K453" s="4" t="s">
        <v>66</v>
      </c>
      <c r="L453" s="7">
        <f t="shared" si="1"/>
        <v>163</v>
      </c>
      <c r="M453" s="7"/>
    </row>
    <row r="454" ht="22.5" customHeight="1">
      <c r="A454" s="4" t="s">
        <v>1048</v>
      </c>
      <c r="B454" s="5">
        <v>95000.0</v>
      </c>
      <c r="C454" s="4" t="s">
        <v>1049</v>
      </c>
      <c r="D454" s="6">
        <v>-0.34</v>
      </c>
      <c r="E454" s="5">
        <v>99.0</v>
      </c>
      <c r="F454" s="4" t="s">
        <v>114</v>
      </c>
      <c r="G454" s="4" t="s">
        <v>66</v>
      </c>
      <c r="H454" s="4" t="s">
        <v>1050</v>
      </c>
      <c r="I454" s="7"/>
      <c r="K454" s="4" t="s">
        <v>66</v>
      </c>
      <c r="L454" s="7">
        <f t="shared" si="1"/>
        <v>163</v>
      </c>
      <c r="M454" s="7"/>
    </row>
    <row r="455" ht="22.5" customHeight="1">
      <c r="A455" s="4" t="s">
        <v>1051</v>
      </c>
      <c r="B455" s="5">
        <v>89000.0</v>
      </c>
      <c r="C455" s="4" t="s">
        <v>1052</v>
      </c>
      <c r="D455" s="6">
        <v>-0.34</v>
      </c>
      <c r="E455" s="5">
        <v>7.0</v>
      </c>
      <c r="F455" s="4" t="s">
        <v>157</v>
      </c>
      <c r="G455" s="4" t="s">
        <v>66</v>
      </c>
      <c r="H455" s="4" t="s">
        <v>1053</v>
      </c>
      <c r="I455" s="7"/>
      <c r="K455" s="4" t="s">
        <v>66</v>
      </c>
      <c r="L455" s="7">
        <f t="shared" si="1"/>
        <v>163</v>
      </c>
      <c r="M455" s="7"/>
    </row>
    <row r="456" ht="22.5" customHeight="1">
      <c r="A456" s="4" t="s">
        <v>1054</v>
      </c>
      <c r="B456" s="5">
        <v>59000.0</v>
      </c>
      <c r="C456" s="4" t="s">
        <v>996</v>
      </c>
      <c r="D456" s="6">
        <v>-0.35</v>
      </c>
      <c r="E456" s="5">
        <v>167.0</v>
      </c>
      <c r="F456" s="4" t="s">
        <v>198</v>
      </c>
      <c r="G456" s="4" t="s">
        <v>66</v>
      </c>
      <c r="H456" s="4" t="s">
        <v>1055</v>
      </c>
      <c r="I456" s="7"/>
      <c r="K456" s="4" t="s">
        <v>66</v>
      </c>
      <c r="L456" s="7">
        <f t="shared" si="1"/>
        <v>163</v>
      </c>
      <c r="M456" s="7"/>
    </row>
    <row r="457" ht="22.5" customHeight="1">
      <c r="A457" s="4" t="s">
        <v>1056</v>
      </c>
      <c r="B457" s="5">
        <v>287000.0</v>
      </c>
      <c r="C457" s="4" t="s">
        <v>1057</v>
      </c>
      <c r="D457" s="6">
        <v>-0.35</v>
      </c>
      <c r="E457" s="5">
        <v>1.0</v>
      </c>
      <c r="F457" s="4" t="s">
        <v>569</v>
      </c>
      <c r="G457" s="4" t="s">
        <v>128</v>
      </c>
      <c r="H457" s="4" t="s">
        <v>1058</v>
      </c>
      <c r="I457" s="7"/>
      <c r="K457" s="4" t="s">
        <v>66</v>
      </c>
      <c r="L457" s="7">
        <f t="shared" si="1"/>
        <v>163</v>
      </c>
      <c r="M457" s="7"/>
    </row>
    <row r="458" ht="22.5" customHeight="1">
      <c r="A458" s="4" t="s">
        <v>1059</v>
      </c>
      <c r="B458" s="5">
        <v>180000.0</v>
      </c>
      <c r="C458" s="4" t="s">
        <v>1060</v>
      </c>
      <c r="D458" s="6">
        <v>-0.36</v>
      </c>
      <c r="E458" s="5">
        <v>5.0</v>
      </c>
      <c r="F458" s="4" t="s">
        <v>114</v>
      </c>
      <c r="G458" s="4" t="s">
        <v>66</v>
      </c>
      <c r="H458" s="4" t="s">
        <v>1061</v>
      </c>
      <c r="I458" s="7"/>
      <c r="K458" s="4" t="s">
        <v>66</v>
      </c>
      <c r="L458" s="7">
        <f t="shared" si="1"/>
        <v>163</v>
      </c>
      <c r="M458" s="7"/>
    </row>
    <row r="459" ht="22.5" customHeight="1">
      <c r="A459" s="4" t="s">
        <v>1062</v>
      </c>
      <c r="B459" s="5">
        <v>87500.0</v>
      </c>
      <c r="C459" s="4" t="s">
        <v>1063</v>
      </c>
      <c r="D459" s="6">
        <v>-0.36</v>
      </c>
      <c r="E459" s="5">
        <v>97.0</v>
      </c>
      <c r="F459" s="4" t="s">
        <v>157</v>
      </c>
      <c r="G459" s="4" t="s">
        <v>66</v>
      </c>
      <c r="H459" s="4" t="s">
        <v>1064</v>
      </c>
      <c r="I459" s="7"/>
      <c r="K459" s="4" t="s">
        <v>66</v>
      </c>
      <c r="L459" s="7">
        <f t="shared" si="1"/>
        <v>163</v>
      </c>
      <c r="M459" s="7"/>
    </row>
    <row r="460" ht="22.5" customHeight="1">
      <c r="A460" s="4" t="s">
        <v>1065</v>
      </c>
      <c r="B460" s="5">
        <v>101500.0</v>
      </c>
      <c r="C460" s="4" t="s">
        <v>1016</v>
      </c>
      <c r="D460" s="6">
        <v>-0.36</v>
      </c>
      <c r="E460" s="5">
        <v>311.0</v>
      </c>
      <c r="F460" s="4" t="s">
        <v>157</v>
      </c>
      <c r="G460" s="4" t="s">
        <v>12</v>
      </c>
      <c r="H460" s="4" t="s">
        <v>1066</v>
      </c>
      <c r="I460" s="7"/>
      <c r="K460" s="4" t="s">
        <v>66</v>
      </c>
      <c r="L460" s="7">
        <f t="shared" si="1"/>
        <v>163</v>
      </c>
      <c r="M460" s="7"/>
    </row>
    <row r="461" ht="22.5" customHeight="1">
      <c r="A461" s="4" t="s">
        <v>1067</v>
      </c>
      <c r="B461" s="5">
        <v>55500.0</v>
      </c>
      <c r="C461" s="4" t="s">
        <v>1068</v>
      </c>
      <c r="D461" s="6">
        <v>-0.36</v>
      </c>
      <c r="E461" s="5">
        <v>32.0</v>
      </c>
      <c r="F461" s="4" t="s">
        <v>198</v>
      </c>
      <c r="G461" s="4" t="s">
        <v>66</v>
      </c>
      <c r="H461" s="4" t="s">
        <v>1069</v>
      </c>
      <c r="I461" s="7"/>
      <c r="K461" s="4" t="s">
        <v>66</v>
      </c>
      <c r="L461" s="7">
        <f t="shared" si="1"/>
        <v>163</v>
      </c>
      <c r="M461" s="7"/>
    </row>
    <row r="462" ht="22.5" customHeight="1">
      <c r="A462" s="4" t="s">
        <v>1070</v>
      </c>
      <c r="B462" s="5">
        <v>134000.0</v>
      </c>
      <c r="C462" s="4" t="s">
        <v>1071</v>
      </c>
      <c r="D462" s="6">
        <v>-0.36</v>
      </c>
      <c r="E462" s="5">
        <v>187.0</v>
      </c>
      <c r="F462" s="4" t="s">
        <v>198</v>
      </c>
      <c r="G462" s="4" t="s">
        <v>66</v>
      </c>
      <c r="H462" s="4" t="s">
        <v>1072</v>
      </c>
      <c r="I462" s="7"/>
      <c r="K462" s="4" t="s">
        <v>66</v>
      </c>
      <c r="L462" s="7">
        <f t="shared" si="1"/>
        <v>163</v>
      </c>
      <c r="M462" s="7"/>
    </row>
    <row r="463" ht="22.5" customHeight="1">
      <c r="A463" s="4" t="s">
        <v>1073</v>
      </c>
      <c r="B463" s="5">
        <v>65800.0</v>
      </c>
      <c r="C463" s="4" t="s">
        <v>996</v>
      </c>
      <c r="D463" s="6">
        <v>-0.36</v>
      </c>
      <c r="E463" s="5">
        <v>34.0</v>
      </c>
      <c r="F463" s="4" t="s">
        <v>569</v>
      </c>
      <c r="G463" s="4" t="s">
        <v>66</v>
      </c>
      <c r="H463" s="4" t="s">
        <v>1074</v>
      </c>
      <c r="I463" s="7"/>
      <c r="K463" s="4" t="s">
        <v>66</v>
      </c>
      <c r="L463" s="7">
        <f t="shared" si="1"/>
        <v>163</v>
      </c>
      <c r="M463" s="7"/>
    </row>
    <row r="464" ht="22.5" customHeight="1">
      <c r="A464" s="4" t="s">
        <v>1075</v>
      </c>
      <c r="B464" s="5">
        <v>215000.0</v>
      </c>
      <c r="C464" s="4" t="s">
        <v>1076</v>
      </c>
      <c r="D464" s="6">
        <v>-0.37</v>
      </c>
      <c r="E464" s="5">
        <v>3000.0</v>
      </c>
      <c r="F464" s="4" t="s">
        <v>79</v>
      </c>
      <c r="G464" s="4" t="s">
        <v>41</v>
      </c>
      <c r="H464" s="4" t="s">
        <v>1077</v>
      </c>
      <c r="I464" s="7"/>
      <c r="K464" s="4" t="s">
        <v>66</v>
      </c>
      <c r="L464" s="7">
        <f t="shared" si="1"/>
        <v>163</v>
      </c>
      <c r="M464" s="7"/>
    </row>
    <row r="465" ht="22.5" customHeight="1">
      <c r="A465" s="4" t="s">
        <v>1078</v>
      </c>
      <c r="B465" s="5">
        <v>290850.0</v>
      </c>
      <c r="C465" s="4" t="s">
        <v>1079</v>
      </c>
      <c r="D465" s="6">
        <v>-0.37</v>
      </c>
      <c r="E465" s="5">
        <v>428.0</v>
      </c>
      <c r="F465" s="4" t="s">
        <v>114</v>
      </c>
      <c r="G465" s="4" t="s">
        <v>49</v>
      </c>
      <c r="H465" s="4" t="s">
        <v>1080</v>
      </c>
      <c r="I465" s="7"/>
      <c r="K465" s="4" t="s">
        <v>66</v>
      </c>
      <c r="L465" s="7">
        <f t="shared" si="1"/>
        <v>163</v>
      </c>
      <c r="M465" s="7"/>
    </row>
    <row r="466" ht="22.5" customHeight="1">
      <c r="A466" s="4" t="s">
        <v>1081</v>
      </c>
      <c r="B466" s="5">
        <v>109000.0</v>
      </c>
      <c r="C466" s="4" t="s">
        <v>969</v>
      </c>
      <c r="D466" s="6">
        <v>-0.37</v>
      </c>
      <c r="E466" s="5">
        <v>3000.0</v>
      </c>
      <c r="F466" s="4" t="s">
        <v>157</v>
      </c>
      <c r="G466" s="4" t="s">
        <v>66</v>
      </c>
      <c r="H466" s="4" t="s">
        <v>1082</v>
      </c>
      <c r="I466" s="7"/>
      <c r="K466" s="4" t="s">
        <v>66</v>
      </c>
      <c r="L466" s="7">
        <f t="shared" si="1"/>
        <v>163</v>
      </c>
      <c r="M466" s="7"/>
    </row>
    <row r="467" ht="22.5" customHeight="1">
      <c r="A467" s="4" t="s">
        <v>1083</v>
      </c>
      <c r="B467" s="5">
        <v>109000.0</v>
      </c>
      <c r="C467" s="4" t="s">
        <v>969</v>
      </c>
      <c r="D467" s="6">
        <v>-0.37</v>
      </c>
      <c r="E467" s="5">
        <v>870.0</v>
      </c>
      <c r="F467" s="4" t="s">
        <v>157</v>
      </c>
      <c r="G467" s="4" t="s">
        <v>12</v>
      </c>
      <c r="H467" s="4" t="s">
        <v>1084</v>
      </c>
      <c r="I467" s="7"/>
      <c r="K467" s="4" t="s">
        <v>66</v>
      </c>
      <c r="L467" s="7">
        <f t="shared" si="1"/>
        <v>163</v>
      </c>
      <c r="M467" s="7"/>
    </row>
    <row r="468" ht="22.5" customHeight="1">
      <c r="A468" s="4" t="s">
        <v>1085</v>
      </c>
      <c r="B468" s="5">
        <v>109000.0</v>
      </c>
      <c r="C468" s="4" t="s">
        <v>969</v>
      </c>
      <c r="D468" s="6">
        <v>-0.37</v>
      </c>
      <c r="E468" s="5">
        <v>180.0</v>
      </c>
      <c r="F468" s="4" t="s">
        <v>198</v>
      </c>
      <c r="G468" s="4" t="s">
        <v>12</v>
      </c>
      <c r="H468" s="4" t="s">
        <v>1086</v>
      </c>
      <c r="I468" s="7"/>
      <c r="K468" s="4" t="s">
        <v>66</v>
      </c>
      <c r="L468" s="7">
        <f t="shared" si="1"/>
        <v>163</v>
      </c>
      <c r="M468" s="7"/>
    </row>
    <row r="469" ht="22.5" customHeight="1">
      <c r="A469" s="4" t="s">
        <v>1087</v>
      </c>
      <c r="B469" s="5">
        <v>109975.0</v>
      </c>
      <c r="C469" s="4" t="s">
        <v>1088</v>
      </c>
      <c r="D469" s="6">
        <v>-0.37</v>
      </c>
      <c r="E469" s="5">
        <v>6000.0</v>
      </c>
      <c r="F469" s="4" t="s">
        <v>198</v>
      </c>
      <c r="G469" s="4" t="s">
        <v>66</v>
      </c>
      <c r="H469" s="4" t="s">
        <v>1089</v>
      </c>
      <c r="I469" s="7"/>
      <c r="K469" s="4" t="s">
        <v>66</v>
      </c>
      <c r="L469" s="7">
        <f t="shared" si="1"/>
        <v>163</v>
      </c>
      <c r="M469" s="7"/>
    </row>
    <row r="470" ht="22.5" customHeight="1">
      <c r="A470" s="4" t="s">
        <v>1090</v>
      </c>
      <c r="B470" s="5">
        <v>69250.0</v>
      </c>
      <c r="C470" s="4" t="s">
        <v>996</v>
      </c>
      <c r="D470" s="6">
        <v>-0.37</v>
      </c>
      <c r="E470" s="5">
        <v>75.0</v>
      </c>
      <c r="F470" s="4" t="s">
        <v>324</v>
      </c>
      <c r="G470" s="4" t="s">
        <v>66</v>
      </c>
      <c r="H470" s="4" t="s">
        <v>1091</v>
      </c>
      <c r="I470" s="7"/>
      <c r="K470" s="4" t="s">
        <v>66</v>
      </c>
      <c r="L470" s="7">
        <f t="shared" si="1"/>
        <v>163</v>
      </c>
      <c r="M470" s="7"/>
    </row>
    <row r="471" ht="22.5" customHeight="1">
      <c r="A471" s="4" t="s">
        <v>1092</v>
      </c>
      <c r="B471" s="5">
        <v>109000.0</v>
      </c>
      <c r="C471" s="4" t="s">
        <v>969</v>
      </c>
      <c r="D471" s="6">
        <v>-0.38</v>
      </c>
      <c r="E471" s="5">
        <v>172.0</v>
      </c>
      <c r="F471" s="4" t="s">
        <v>101</v>
      </c>
      <c r="G471" s="4" t="s">
        <v>12</v>
      </c>
      <c r="H471" s="4" t="s">
        <v>1093</v>
      </c>
      <c r="I471" s="7"/>
      <c r="K471" s="4" t="s">
        <v>66</v>
      </c>
      <c r="L471" s="7">
        <f t="shared" si="1"/>
        <v>163</v>
      </c>
      <c r="M471" s="7"/>
    </row>
    <row r="472" ht="22.5" customHeight="1">
      <c r="A472" s="4" t="s">
        <v>1094</v>
      </c>
      <c r="B472" s="5">
        <v>139000.0</v>
      </c>
      <c r="C472" s="4" t="s">
        <v>900</v>
      </c>
      <c r="D472" s="6">
        <v>-0.38</v>
      </c>
      <c r="E472" s="5">
        <v>48.0</v>
      </c>
      <c r="F472" s="4" t="s">
        <v>157</v>
      </c>
      <c r="G472" s="4" t="s">
        <v>66</v>
      </c>
      <c r="H472" s="4" t="s">
        <v>1095</v>
      </c>
      <c r="I472" s="7"/>
      <c r="K472" s="4" t="s">
        <v>66</v>
      </c>
      <c r="L472" s="7">
        <f t="shared" si="1"/>
        <v>163</v>
      </c>
      <c r="M472" s="7"/>
    </row>
    <row r="473" ht="22.5" customHeight="1">
      <c r="A473" s="4" t="s">
        <v>1096</v>
      </c>
      <c r="B473" s="5">
        <v>343000.0</v>
      </c>
      <c r="C473" s="4" t="s">
        <v>1097</v>
      </c>
      <c r="D473" s="6">
        <v>-0.38</v>
      </c>
      <c r="E473" s="5">
        <v>5000.0</v>
      </c>
      <c r="F473" s="4" t="s">
        <v>198</v>
      </c>
      <c r="G473" s="4" t="s">
        <v>66</v>
      </c>
      <c r="H473" s="4" t="s">
        <v>1098</v>
      </c>
      <c r="I473" s="7"/>
      <c r="K473" s="4" t="s">
        <v>128</v>
      </c>
      <c r="L473" s="7">
        <f t="shared" si="1"/>
        <v>1</v>
      </c>
      <c r="M473" s="7"/>
    </row>
    <row r="474" ht="22.5" customHeight="1">
      <c r="A474" s="4" t="s">
        <v>1099</v>
      </c>
      <c r="B474" s="5">
        <v>88900.0</v>
      </c>
      <c r="C474" s="4" t="s">
        <v>1100</v>
      </c>
      <c r="D474" s="6">
        <v>-0.38</v>
      </c>
      <c r="E474" s="5">
        <v>61.0</v>
      </c>
      <c r="F474" s="4" t="s">
        <v>324</v>
      </c>
      <c r="G474" s="4" t="s">
        <v>49</v>
      </c>
      <c r="H474" s="4" t="s">
        <v>1101</v>
      </c>
      <c r="I474" s="7"/>
      <c r="K474" s="4" t="s">
        <v>131</v>
      </c>
      <c r="L474" s="7">
        <f t="shared" si="1"/>
        <v>3</v>
      </c>
      <c r="M474" s="7"/>
    </row>
    <row r="475" ht="22.5" customHeight="1">
      <c r="A475" s="4" t="s">
        <v>1102</v>
      </c>
      <c r="B475" s="5">
        <v>340000.0</v>
      </c>
      <c r="C475" s="4" t="s">
        <v>1103</v>
      </c>
      <c r="D475" s="6">
        <v>-0.38</v>
      </c>
      <c r="E475" s="5">
        <v>17.0</v>
      </c>
      <c r="F475" s="4" t="s">
        <v>324</v>
      </c>
      <c r="G475" s="4" t="s">
        <v>66</v>
      </c>
      <c r="H475" s="4" t="s">
        <v>1104</v>
      </c>
      <c r="I475" s="7"/>
      <c r="K475" s="4" t="s">
        <v>131</v>
      </c>
      <c r="L475" s="7">
        <f t="shared" si="1"/>
        <v>3</v>
      </c>
      <c r="M475" s="7"/>
    </row>
    <row r="476" ht="22.5" customHeight="1">
      <c r="A476" s="4" t="s">
        <v>1105</v>
      </c>
      <c r="B476" s="5">
        <v>276000.0</v>
      </c>
      <c r="C476" s="4" t="s">
        <v>1106</v>
      </c>
      <c r="D476" s="6">
        <v>-0.38</v>
      </c>
      <c r="E476" s="5">
        <v>754.0</v>
      </c>
      <c r="F476" s="4" t="s">
        <v>1107</v>
      </c>
      <c r="G476" s="4" t="s">
        <v>41</v>
      </c>
      <c r="H476" s="4" t="s">
        <v>1108</v>
      </c>
      <c r="I476" s="7"/>
      <c r="K476" s="4" t="s">
        <v>131</v>
      </c>
      <c r="L476" s="7">
        <f t="shared" si="1"/>
        <v>3</v>
      </c>
      <c r="M476" s="7"/>
    </row>
    <row r="477" ht="22.5" customHeight="1">
      <c r="A477" s="4" t="s">
        <v>899</v>
      </c>
      <c r="B477" s="5">
        <v>120000.0</v>
      </c>
      <c r="C477" s="4" t="s">
        <v>1109</v>
      </c>
      <c r="D477" s="6">
        <v>-0.39</v>
      </c>
      <c r="E477" s="5">
        <v>708.0</v>
      </c>
      <c r="F477" s="4" t="s">
        <v>79</v>
      </c>
      <c r="G477" s="4" t="s">
        <v>66</v>
      </c>
      <c r="H477" s="4" t="s">
        <v>1110</v>
      </c>
      <c r="I477" s="7"/>
      <c r="K477" s="4" t="s">
        <v>134</v>
      </c>
      <c r="L477" s="7">
        <f t="shared" si="1"/>
        <v>4</v>
      </c>
      <c r="M477" s="7"/>
    </row>
    <row r="478" ht="22.5" customHeight="1">
      <c r="A478" s="4" t="s">
        <v>1111</v>
      </c>
      <c r="B478" s="5">
        <v>128558.0</v>
      </c>
      <c r="C478" s="4" t="s">
        <v>1112</v>
      </c>
      <c r="D478" s="6">
        <v>-0.39</v>
      </c>
      <c r="E478" s="5">
        <v>4000.0</v>
      </c>
      <c r="F478" s="4" t="s">
        <v>157</v>
      </c>
      <c r="G478" s="4" t="s">
        <v>66</v>
      </c>
      <c r="H478" s="4" t="s">
        <v>1113</v>
      </c>
      <c r="I478" s="7"/>
      <c r="K478" s="4" t="s">
        <v>134</v>
      </c>
      <c r="L478" s="7">
        <f t="shared" si="1"/>
        <v>4</v>
      </c>
      <c r="M478" s="7"/>
    </row>
    <row r="479" ht="22.5" customHeight="1">
      <c r="A479" s="4" t="s">
        <v>1114</v>
      </c>
      <c r="B479" s="5">
        <v>89000.0</v>
      </c>
      <c r="C479" s="4" t="s">
        <v>1115</v>
      </c>
      <c r="D479" s="6">
        <v>-0.4</v>
      </c>
      <c r="E479" s="5">
        <v>9000.0</v>
      </c>
      <c r="F479" s="4" t="s">
        <v>198</v>
      </c>
      <c r="G479" s="4" t="s">
        <v>49</v>
      </c>
      <c r="H479" s="4" t="s">
        <v>1116</v>
      </c>
      <c r="I479" s="7"/>
      <c r="K479" s="4" t="s">
        <v>134</v>
      </c>
      <c r="L479" s="7">
        <f t="shared" si="1"/>
        <v>4</v>
      </c>
      <c r="M479" s="7"/>
    </row>
    <row r="480" ht="22.5" customHeight="1">
      <c r="A480" s="4" t="s">
        <v>1117</v>
      </c>
      <c r="B480" s="5">
        <v>112100.0</v>
      </c>
      <c r="C480" s="4" t="s">
        <v>969</v>
      </c>
      <c r="D480" s="6">
        <v>-0.4</v>
      </c>
      <c r="E480" s="5">
        <v>213.0</v>
      </c>
      <c r="F480" s="4" t="s">
        <v>198</v>
      </c>
      <c r="G480" s="4" t="s">
        <v>66</v>
      </c>
      <c r="H480" s="4" t="s">
        <v>1118</v>
      </c>
      <c r="I480" s="7"/>
      <c r="K480" s="4" t="s">
        <v>134</v>
      </c>
      <c r="L480" s="7">
        <f t="shared" si="1"/>
        <v>4</v>
      </c>
      <c r="M480" s="7"/>
    </row>
    <row r="481" ht="22.5" customHeight="1">
      <c r="A481" s="4" t="s">
        <v>1119</v>
      </c>
      <c r="B481" s="5">
        <v>270000.0</v>
      </c>
      <c r="C481" s="4" t="s">
        <v>848</v>
      </c>
      <c r="D481" s="6">
        <v>-0.4</v>
      </c>
      <c r="E481" s="5">
        <v>1000.0</v>
      </c>
      <c r="F481" s="4" t="s">
        <v>198</v>
      </c>
      <c r="G481" s="4" t="s">
        <v>41</v>
      </c>
      <c r="H481" s="4" t="s">
        <v>1120</v>
      </c>
      <c r="I481" s="7"/>
      <c r="K481" s="4" t="s">
        <v>137</v>
      </c>
      <c r="L481" s="7">
        <f t="shared" si="1"/>
        <v>4</v>
      </c>
      <c r="M481" s="7"/>
    </row>
    <row r="482" ht="22.5" customHeight="1">
      <c r="A482" s="4" t="s">
        <v>1121</v>
      </c>
      <c r="B482" s="5">
        <v>360000.0</v>
      </c>
      <c r="C482" s="4" t="s">
        <v>1122</v>
      </c>
      <c r="D482" s="6">
        <v>-0.4</v>
      </c>
      <c r="E482" s="5">
        <v>141.0</v>
      </c>
      <c r="F482" s="4" t="s">
        <v>324</v>
      </c>
      <c r="G482" s="4" t="s">
        <v>49</v>
      </c>
      <c r="H482" s="4" t="s">
        <v>1123</v>
      </c>
      <c r="I482" s="7"/>
      <c r="K482" s="4" t="s">
        <v>137</v>
      </c>
      <c r="L482" s="7">
        <f t="shared" si="1"/>
        <v>4</v>
      </c>
      <c r="M482" s="7"/>
    </row>
    <row r="483" ht="22.5" customHeight="1">
      <c r="A483" s="4" t="s">
        <v>1124</v>
      </c>
      <c r="B483" s="5">
        <v>99000.0</v>
      </c>
      <c r="C483" s="4" t="s">
        <v>784</v>
      </c>
      <c r="D483" s="6">
        <v>-0.4</v>
      </c>
      <c r="E483" s="5">
        <v>19.0</v>
      </c>
      <c r="F483" s="4" t="s">
        <v>569</v>
      </c>
      <c r="G483" s="4" t="s">
        <v>66</v>
      </c>
      <c r="H483" s="4" t="s">
        <v>1125</v>
      </c>
      <c r="I483" s="7"/>
      <c r="K483" s="4" t="s">
        <v>137</v>
      </c>
      <c r="L483" s="7">
        <f t="shared" si="1"/>
        <v>4</v>
      </c>
      <c r="M483" s="7"/>
    </row>
    <row r="484" ht="22.5" customHeight="1">
      <c r="A484" s="4" t="s">
        <v>1126</v>
      </c>
      <c r="B484" s="5">
        <v>109000.0</v>
      </c>
      <c r="C484" s="4" t="s">
        <v>1127</v>
      </c>
      <c r="D484" s="6">
        <v>-0.41</v>
      </c>
      <c r="E484" s="5">
        <v>134.0</v>
      </c>
      <c r="F484" s="4" t="s">
        <v>59</v>
      </c>
      <c r="G484" s="4" t="s">
        <v>66</v>
      </c>
      <c r="H484" s="4" t="s">
        <v>1128</v>
      </c>
      <c r="I484" s="7"/>
      <c r="K484" s="4" t="s">
        <v>137</v>
      </c>
      <c r="L484" s="7">
        <f t="shared" si="1"/>
        <v>4</v>
      </c>
      <c r="M484" s="7"/>
    </row>
    <row r="485" ht="22.5" customHeight="1">
      <c r="A485" s="4" t="s">
        <v>1129</v>
      </c>
      <c r="B485" s="5">
        <v>280000.0</v>
      </c>
      <c r="C485" s="4" t="s">
        <v>1130</v>
      </c>
      <c r="D485" s="6">
        <v>-0.41</v>
      </c>
      <c r="E485" s="5">
        <v>151.0</v>
      </c>
      <c r="F485" s="4" t="s">
        <v>157</v>
      </c>
      <c r="G485" s="4" t="s">
        <v>66</v>
      </c>
      <c r="H485" s="4" t="s">
        <v>1131</v>
      </c>
      <c r="I485" s="7"/>
      <c r="K485" s="4" t="s">
        <v>12</v>
      </c>
      <c r="L485" s="7">
        <f t="shared" si="1"/>
        <v>37</v>
      </c>
      <c r="M485" s="7"/>
    </row>
    <row r="486" ht="22.5" customHeight="1">
      <c r="A486" s="4" t="s">
        <v>1132</v>
      </c>
      <c r="B486" s="5">
        <v>47000.0</v>
      </c>
      <c r="C486" s="4" t="s">
        <v>1133</v>
      </c>
      <c r="D486" s="6">
        <v>-0.41</v>
      </c>
      <c r="E486" s="5">
        <v>962.0</v>
      </c>
      <c r="F486" s="4" t="s">
        <v>198</v>
      </c>
      <c r="G486" s="4" t="s">
        <v>66</v>
      </c>
      <c r="H486" s="4" t="s">
        <v>1134</v>
      </c>
      <c r="I486" s="7"/>
      <c r="K486" s="4" t="s">
        <v>12</v>
      </c>
      <c r="L486" s="7">
        <f t="shared" si="1"/>
        <v>37</v>
      </c>
      <c r="M486" s="7"/>
    </row>
    <row r="487" ht="22.5" customHeight="1">
      <c r="A487" s="4" t="s">
        <v>1135</v>
      </c>
      <c r="B487" s="5">
        <v>458180.0</v>
      </c>
      <c r="C487" s="4" t="s">
        <v>1136</v>
      </c>
      <c r="D487" s="6">
        <v>-0.41</v>
      </c>
      <c r="E487" s="5">
        <v>10000.0</v>
      </c>
      <c r="F487" s="4" t="s">
        <v>198</v>
      </c>
      <c r="G487" s="4" t="s">
        <v>66</v>
      </c>
      <c r="H487" s="4" t="s">
        <v>1137</v>
      </c>
      <c r="I487" s="7"/>
      <c r="K487" s="4" t="s">
        <v>12</v>
      </c>
      <c r="L487" s="7">
        <f t="shared" si="1"/>
        <v>37</v>
      </c>
      <c r="M487" s="7"/>
    </row>
    <row r="488" ht="22.5" customHeight="1">
      <c r="A488" s="4" t="s">
        <v>1135</v>
      </c>
      <c r="B488" s="5">
        <v>460000.0</v>
      </c>
      <c r="C488" s="4" t="s">
        <v>1136</v>
      </c>
      <c r="D488" s="6">
        <v>-0.41</v>
      </c>
      <c r="E488" s="5">
        <v>10000.0</v>
      </c>
      <c r="F488" s="4" t="s">
        <v>198</v>
      </c>
      <c r="G488" s="4" t="s">
        <v>66</v>
      </c>
      <c r="H488" s="4" t="s">
        <v>1138</v>
      </c>
      <c r="I488" s="7"/>
      <c r="K488" s="4" t="s">
        <v>12</v>
      </c>
      <c r="L488" s="7">
        <f t="shared" si="1"/>
        <v>37</v>
      </c>
      <c r="M488" s="7"/>
    </row>
    <row r="489" ht="22.5" customHeight="1">
      <c r="A489" s="4" t="s">
        <v>1139</v>
      </c>
      <c r="B489" s="5">
        <v>66500.0</v>
      </c>
      <c r="C489" s="4" t="s">
        <v>1140</v>
      </c>
      <c r="D489" s="6">
        <v>-0.41</v>
      </c>
      <c r="E489" s="5">
        <v>616.0</v>
      </c>
      <c r="F489" s="4" t="s">
        <v>324</v>
      </c>
      <c r="G489" s="4" t="s">
        <v>66</v>
      </c>
      <c r="H489" s="4" t="s">
        <v>1141</v>
      </c>
      <c r="I489" s="7"/>
      <c r="K489" s="4" t="s">
        <v>12</v>
      </c>
      <c r="L489" s="7">
        <f t="shared" si="1"/>
        <v>37</v>
      </c>
      <c r="M489" s="7"/>
    </row>
    <row r="490" ht="22.5" customHeight="1">
      <c r="A490" s="4" t="s">
        <v>1142</v>
      </c>
      <c r="B490" s="5">
        <v>556115.0</v>
      </c>
      <c r="C490" s="4" t="s">
        <v>1143</v>
      </c>
      <c r="D490" s="6">
        <v>-0.42</v>
      </c>
      <c r="E490" s="5">
        <v>109.0</v>
      </c>
      <c r="F490" s="4" t="s">
        <v>75</v>
      </c>
      <c r="G490" s="4" t="s">
        <v>41</v>
      </c>
      <c r="H490" s="4" t="s">
        <v>1144</v>
      </c>
      <c r="I490" s="7"/>
      <c r="K490" s="4" t="s">
        <v>12</v>
      </c>
      <c r="L490" s="7">
        <f t="shared" si="1"/>
        <v>37</v>
      </c>
      <c r="M490" s="7"/>
    </row>
    <row r="491" ht="22.5" customHeight="1">
      <c r="A491" s="4" t="s">
        <v>1145</v>
      </c>
      <c r="B491" s="5">
        <v>101500.0</v>
      </c>
      <c r="C491" s="4" t="s">
        <v>784</v>
      </c>
      <c r="D491" s="6">
        <v>-0.42</v>
      </c>
      <c r="E491" s="5">
        <v>179.0</v>
      </c>
      <c r="F491" s="4" t="s">
        <v>101</v>
      </c>
      <c r="G491" s="4" t="s">
        <v>12</v>
      </c>
      <c r="H491" s="4" t="s">
        <v>1146</v>
      </c>
      <c r="I491" s="7"/>
      <c r="K491" s="4" t="s">
        <v>12</v>
      </c>
      <c r="L491" s="7">
        <f t="shared" si="1"/>
        <v>37</v>
      </c>
      <c r="M491" s="7"/>
    </row>
    <row r="492" ht="22.5" customHeight="1">
      <c r="A492" s="4" t="s">
        <v>1147</v>
      </c>
      <c r="B492" s="5">
        <v>394900.0</v>
      </c>
      <c r="C492" s="4" t="s">
        <v>1122</v>
      </c>
      <c r="D492" s="6">
        <v>-0.42</v>
      </c>
      <c r="E492" s="5">
        <v>90.0</v>
      </c>
      <c r="F492" s="4" t="s">
        <v>157</v>
      </c>
      <c r="G492" s="4" t="s">
        <v>41</v>
      </c>
      <c r="H492" s="4" t="s">
        <v>1148</v>
      </c>
      <c r="I492" s="7"/>
      <c r="K492" s="4" t="s">
        <v>12</v>
      </c>
      <c r="L492" s="7">
        <f t="shared" si="1"/>
        <v>37</v>
      </c>
      <c r="M492" s="7"/>
    </row>
    <row r="493" ht="22.5" customHeight="1">
      <c r="A493" s="4" t="s">
        <v>1149</v>
      </c>
      <c r="B493" s="5">
        <v>515000.0</v>
      </c>
      <c r="C493" s="4" t="s">
        <v>1150</v>
      </c>
      <c r="D493" s="6">
        <v>-0.42</v>
      </c>
      <c r="E493" s="5">
        <v>1000.0</v>
      </c>
      <c r="F493" s="4" t="s">
        <v>157</v>
      </c>
      <c r="G493" s="4" t="s">
        <v>66</v>
      </c>
      <c r="H493" s="4" t="s">
        <v>1151</v>
      </c>
      <c r="I493" s="7"/>
      <c r="K493" s="4" t="s">
        <v>12</v>
      </c>
      <c r="L493" s="7">
        <f t="shared" si="1"/>
        <v>37</v>
      </c>
      <c r="M493" s="7"/>
    </row>
    <row r="494" ht="22.5" customHeight="1">
      <c r="A494" s="4" t="s">
        <v>1152</v>
      </c>
      <c r="B494" s="5">
        <v>199000.0</v>
      </c>
      <c r="C494" s="4" t="s">
        <v>1153</v>
      </c>
      <c r="D494" s="6">
        <v>-0.42</v>
      </c>
      <c r="E494" s="5">
        <v>27.0</v>
      </c>
      <c r="F494" s="4" t="s">
        <v>198</v>
      </c>
      <c r="G494" s="4" t="s">
        <v>66</v>
      </c>
      <c r="H494" s="4" t="s">
        <v>1154</v>
      </c>
      <c r="I494" s="7"/>
      <c r="K494" s="4" t="s">
        <v>12</v>
      </c>
      <c r="L494" s="7">
        <f t="shared" si="1"/>
        <v>37</v>
      </c>
      <c r="M494" s="7"/>
    </row>
    <row r="495" ht="22.5" customHeight="1">
      <c r="A495" s="4" t="s">
        <v>1155</v>
      </c>
      <c r="B495" s="5">
        <v>340000.0</v>
      </c>
      <c r="C495" s="4" t="s">
        <v>1156</v>
      </c>
      <c r="D495" s="6">
        <v>-0.42</v>
      </c>
      <c r="E495" s="5">
        <v>1000.0</v>
      </c>
      <c r="F495" s="4" t="s">
        <v>198</v>
      </c>
      <c r="G495" s="4" t="s">
        <v>66</v>
      </c>
      <c r="H495" s="4" t="s">
        <v>1157</v>
      </c>
      <c r="I495" s="7"/>
      <c r="K495" s="4" t="s">
        <v>12</v>
      </c>
      <c r="L495" s="7">
        <f t="shared" si="1"/>
        <v>37</v>
      </c>
      <c r="M495" s="7"/>
    </row>
    <row r="496" ht="22.5" customHeight="1">
      <c r="A496" s="4" t="s">
        <v>1158</v>
      </c>
      <c r="B496" s="5">
        <v>86000.0</v>
      </c>
      <c r="C496" s="4" t="s">
        <v>996</v>
      </c>
      <c r="D496" s="6">
        <v>-0.42</v>
      </c>
      <c r="E496" s="5">
        <v>5000.0</v>
      </c>
      <c r="F496" s="4" t="s">
        <v>324</v>
      </c>
      <c r="G496" s="4" t="s">
        <v>12</v>
      </c>
      <c r="H496" s="4" t="s">
        <v>1159</v>
      </c>
      <c r="I496" s="7"/>
      <c r="K496" s="4" t="s">
        <v>12</v>
      </c>
      <c r="L496" s="7">
        <f t="shared" si="1"/>
        <v>37</v>
      </c>
      <c r="M496" s="7"/>
    </row>
    <row r="497" ht="22.5" customHeight="1">
      <c r="A497" s="4" t="s">
        <v>1160</v>
      </c>
      <c r="B497" s="5">
        <v>19301.0</v>
      </c>
      <c r="C497" s="4" t="s">
        <v>1161</v>
      </c>
      <c r="D497" s="6">
        <v>-0.43</v>
      </c>
      <c r="E497" s="5">
        <v>101.0</v>
      </c>
      <c r="F497" s="4" t="s">
        <v>79</v>
      </c>
      <c r="G497" s="4" t="s">
        <v>66</v>
      </c>
      <c r="H497" s="4" t="s">
        <v>1162</v>
      </c>
      <c r="I497" s="7"/>
      <c r="K497" s="4" t="s">
        <v>12</v>
      </c>
      <c r="L497" s="7">
        <f t="shared" si="1"/>
        <v>37</v>
      </c>
      <c r="M497" s="7"/>
    </row>
    <row r="498" ht="22.5" customHeight="1">
      <c r="A498" s="4" t="s">
        <v>1163</v>
      </c>
      <c r="B498" s="5">
        <v>105000.0</v>
      </c>
      <c r="C498" s="4" t="s">
        <v>1052</v>
      </c>
      <c r="D498" s="6">
        <v>-0.43</v>
      </c>
      <c r="E498" s="5">
        <v>77.0</v>
      </c>
      <c r="F498" s="4" t="s">
        <v>114</v>
      </c>
      <c r="G498" s="4" t="s">
        <v>66</v>
      </c>
      <c r="H498" s="4" t="s">
        <v>1164</v>
      </c>
      <c r="I498" s="7"/>
      <c r="K498" s="4" t="s">
        <v>12</v>
      </c>
      <c r="L498" s="7">
        <f t="shared" si="1"/>
        <v>37</v>
      </c>
      <c r="M498" s="7"/>
    </row>
    <row r="499" ht="22.5" customHeight="1">
      <c r="A499" s="4" t="s">
        <v>1165</v>
      </c>
      <c r="B499" s="5">
        <v>87600.0</v>
      </c>
      <c r="C499" s="4" t="s">
        <v>996</v>
      </c>
      <c r="D499" s="6">
        <v>-0.43</v>
      </c>
      <c r="E499" s="5">
        <v>246.0</v>
      </c>
      <c r="F499" s="4" t="s">
        <v>157</v>
      </c>
      <c r="G499" s="4" t="s">
        <v>66</v>
      </c>
      <c r="H499" s="4" t="s">
        <v>1166</v>
      </c>
      <c r="I499" s="7"/>
      <c r="K499" s="4" t="s">
        <v>12</v>
      </c>
      <c r="L499" s="7">
        <f t="shared" si="1"/>
        <v>37</v>
      </c>
      <c r="M499" s="7"/>
    </row>
    <row r="500" ht="22.5" customHeight="1">
      <c r="A500" s="4" t="s">
        <v>1167</v>
      </c>
      <c r="B500" s="5">
        <v>99540.0</v>
      </c>
      <c r="C500" s="4" t="s">
        <v>1168</v>
      </c>
      <c r="D500" s="6">
        <v>-0.43</v>
      </c>
      <c r="E500" s="5">
        <v>129.0</v>
      </c>
      <c r="F500" s="4" t="s">
        <v>157</v>
      </c>
      <c r="G500" s="4" t="s">
        <v>12</v>
      </c>
      <c r="H500" s="4" t="s">
        <v>1169</v>
      </c>
      <c r="I500" s="7"/>
      <c r="K500" s="4" t="s">
        <v>12</v>
      </c>
      <c r="L500" s="7">
        <f t="shared" si="1"/>
        <v>37</v>
      </c>
      <c r="M500" s="7"/>
    </row>
    <row r="501" ht="22.5" customHeight="1">
      <c r="A501" s="4" t="s">
        <v>1170</v>
      </c>
      <c r="B501" s="5">
        <v>225000.0</v>
      </c>
      <c r="C501" s="4" t="s">
        <v>1171</v>
      </c>
      <c r="D501" s="6">
        <v>-0.43</v>
      </c>
      <c r="E501" s="5">
        <v>559.0</v>
      </c>
      <c r="F501" s="4" t="s">
        <v>157</v>
      </c>
      <c r="G501" s="4" t="s">
        <v>66</v>
      </c>
      <c r="H501" s="4" t="s">
        <v>1172</v>
      </c>
      <c r="I501" s="7"/>
      <c r="K501" s="4" t="s">
        <v>12</v>
      </c>
      <c r="L501" s="7">
        <f t="shared" si="1"/>
        <v>37</v>
      </c>
      <c r="M501" s="7"/>
    </row>
    <row r="502" ht="22.5" customHeight="1">
      <c r="A502" s="4" t="s">
        <v>1173</v>
      </c>
      <c r="B502" s="5">
        <v>115800.0</v>
      </c>
      <c r="C502" s="4" t="s">
        <v>969</v>
      </c>
      <c r="D502" s="6">
        <v>-0.43</v>
      </c>
      <c r="E502" s="5">
        <v>10000.0</v>
      </c>
      <c r="F502" s="4" t="s">
        <v>198</v>
      </c>
      <c r="G502" s="4" t="s">
        <v>16</v>
      </c>
      <c r="H502" s="4" t="s">
        <v>1174</v>
      </c>
      <c r="I502" s="7"/>
      <c r="K502" s="4" t="s">
        <v>12</v>
      </c>
      <c r="L502" s="7">
        <f t="shared" si="1"/>
        <v>37</v>
      </c>
      <c r="M502" s="7"/>
    </row>
    <row r="503" ht="22.5" customHeight="1">
      <c r="A503" s="4" t="s">
        <v>1175</v>
      </c>
      <c r="B503" s="5">
        <v>105000.0</v>
      </c>
      <c r="C503" s="4" t="s">
        <v>1176</v>
      </c>
      <c r="D503" s="6">
        <v>-0.43</v>
      </c>
      <c r="E503" s="5">
        <v>79.0</v>
      </c>
      <c r="F503" s="4" t="s">
        <v>324</v>
      </c>
      <c r="G503" s="4" t="s">
        <v>66</v>
      </c>
      <c r="H503" s="4" t="s">
        <v>1177</v>
      </c>
      <c r="I503" s="7"/>
      <c r="K503" s="4" t="s">
        <v>12</v>
      </c>
      <c r="L503" s="7">
        <f t="shared" si="1"/>
        <v>37</v>
      </c>
      <c r="M503" s="7"/>
    </row>
    <row r="504" ht="22.5" customHeight="1">
      <c r="A504" s="4" t="s">
        <v>1178</v>
      </c>
      <c r="B504" s="5">
        <v>69800.0</v>
      </c>
      <c r="C504" s="4" t="s">
        <v>1179</v>
      </c>
      <c r="D504" s="6">
        <v>-0.43</v>
      </c>
      <c r="E504" s="5">
        <v>32.0</v>
      </c>
      <c r="F504" s="4" t="s">
        <v>569</v>
      </c>
      <c r="G504" s="4" t="s">
        <v>66</v>
      </c>
      <c r="H504" s="4" t="s">
        <v>1180</v>
      </c>
      <c r="I504" s="7"/>
      <c r="K504" s="4" t="s">
        <v>12</v>
      </c>
      <c r="L504" s="7">
        <f t="shared" si="1"/>
        <v>37</v>
      </c>
      <c r="M504" s="7"/>
    </row>
    <row r="505" ht="22.5" customHeight="1">
      <c r="A505" s="4" t="s">
        <v>1181</v>
      </c>
      <c r="B505" s="5">
        <v>105000.0</v>
      </c>
      <c r="C505" s="4" t="s">
        <v>784</v>
      </c>
      <c r="D505" s="6">
        <v>-0.43</v>
      </c>
      <c r="E505" s="5">
        <v>2000.0</v>
      </c>
      <c r="F505" s="4" t="s">
        <v>1182</v>
      </c>
      <c r="G505" s="4" t="s">
        <v>66</v>
      </c>
      <c r="H505" s="4" t="s">
        <v>1183</v>
      </c>
      <c r="I505" s="7"/>
      <c r="K505" s="4" t="s">
        <v>12</v>
      </c>
      <c r="L505" s="7">
        <f t="shared" si="1"/>
        <v>37</v>
      </c>
      <c r="M505" s="7"/>
    </row>
    <row r="506" ht="22.5" customHeight="1">
      <c r="A506" s="4" t="s">
        <v>1184</v>
      </c>
      <c r="B506" s="5">
        <v>248000.0</v>
      </c>
      <c r="C506" s="4" t="s">
        <v>1185</v>
      </c>
      <c r="D506" s="6">
        <v>-0.43</v>
      </c>
      <c r="E506" s="5">
        <v>471.0</v>
      </c>
      <c r="F506" s="4" t="s">
        <v>1182</v>
      </c>
      <c r="G506" s="4" t="s">
        <v>66</v>
      </c>
      <c r="H506" s="4" t="s">
        <v>1186</v>
      </c>
      <c r="I506" s="7"/>
      <c r="K506" s="4" t="s">
        <v>12</v>
      </c>
      <c r="L506" s="7">
        <f t="shared" si="1"/>
        <v>37</v>
      </c>
      <c r="M506" s="7"/>
    </row>
    <row r="507" ht="22.5" customHeight="1">
      <c r="A507" s="4" t="s">
        <v>1187</v>
      </c>
      <c r="B507" s="5">
        <v>102800.0</v>
      </c>
      <c r="C507" s="4" t="s">
        <v>1168</v>
      </c>
      <c r="D507" s="6">
        <v>-0.44</v>
      </c>
      <c r="E507" s="5">
        <v>156.0</v>
      </c>
      <c r="F507" s="4" t="s">
        <v>79</v>
      </c>
      <c r="G507" s="4" t="s">
        <v>66</v>
      </c>
      <c r="H507" s="4" t="s">
        <v>1188</v>
      </c>
      <c r="I507" s="7"/>
      <c r="K507" s="4" t="s">
        <v>12</v>
      </c>
      <c r="L507" s="7">
        <f t="shared" si="1"/>
        <v>37</v>
      </c>
      <c r="M507" s="7"/>
    </row>
    <row r="508" ht="22.5" customHeight="1">
      <c r="A508" s="4" t="s">
        <v>1189</v>
      </c>
      <c r="B508" s="5">
        <v>65100.0</v>
      </c>
      <c r="C508" s="4" t="s">
        <v>1190</v>
      </c>
      <c r="D508" s="6">
        <v>-0.44</v>
      </c>
      <c r="E508" s="5">
        <v>3000.0</v>
      </c>
      <c r="F508" s="4" t="s">
        <v>114</v>
      </c>
      <c r="G508" s="4" t="s">
        <v>41</v>
      </c>
      <c r="H508" s="4" t="s">
        <v>1191</v>
      </c>
      <c r="I508" s="7"/>
      <c r="K508" s="4" t="s">
        <v>12</v>
      </c>
      <c r="L508" s="7">
        <f t="shared" si="1"/>
        <v>37</v>
      </c>
      <c r="M508" s="7"/>
    </row>
    <row r="509" ht="22.5" customHeight="1">
      <c r="A509" s="4" t="s">
        <v>1192</v>
      </c>
      <c r="B509" s="5">
        <v>66800.0</v>
      </c>
      <c r="C509" s="4" t="s">
        <v>1193</v>
      </c>
      <c r="D509" s="6">
        <v>-0.44</v>
      </c>
      <c r="E509" s="5">
        <v>204.0</v>
      </c>
      <c r="F509" s="4" t="s">
        <v>114</v>
      </c>
      <c r="G509" s="4" t="s">
        <v>41</v>
      </c>
      <c r="H509" s="4" t="s">
        <v>1194</v>
      </c>
      <c r="I509" s="7"/>
      <c r="K509" s="4" t="s">
        <v>12</v>
      </c>
      <c r="L509" s="7">
        <f t="shared" si="1"/>
        <v>37</v>
      </c>
      <c r="M509" s="7"/>
    </row>
    <row r="510" ht="22.5" customHeight="1">
      <c r="A510" s="4" t="s">
        <v>1195</v>
      </c>
      <c r="B510" s="5">
        <v>242000.0</v>
      </c>
      <c r="C510" s="4" t="s">
        <v>1196</v>
      </c>
      <c r="D510" s="6">
        <v>-0.44</v>
      </c>
      <c r="E510" s="5">
        <v>385.0</v>
      </c>
      <c r="F510" s="4" t="s">
        <v>157</v>
      </c>
      <c r="G510" s="4" t="s">
        <v>66</v>
      </c>
      <c r="H510" s="4" t="s">
        <v>1197</v>
      </c>
      <c r="I510" s="7"/>
      <c r="K510" s="4" t="s">
        <v>12</v>
      </c>
      <c r="L510" s="7">
        <f t="shared" si="1"/>
        <v>37</v>
      </c>
      <c r="M510" s="7"/>
    </row>
    <row r="511" ht="22.5" customHeight="1">
      <c r="A511" s="4" t="s">
        <v>1198</v>
      </c>
      <c r="B511" s="5">
        <v>108200.0</v>
      </c>
      <c r="C511" s="4" t="s">
        <v>784</v>
      </c>
      <c r="D511" s="6">
        <v>-0.44</v>
      </c>
      <c r="E511" s="5">
        <v>502.0</v>
      </c>
      <c r="F511" s="4" t="s">
        <v>198</v>
      </c>
      <c r="G511" s="4" t="s">
        <v>66</v>
      </c>
      <c r="H511" s="4" t="s">
        <v>1199</v>
      </c>
      <c r="I511" s="7"/>
      <c r="K511" s="4" t="s">
        <v>12</v>
      </c>
      <c r="L511" s="7">
        <f t="shared" si="1"/>
        <v>37</v>
      </c>
      <c r="M511" s="7"/>
    </row>
    <row r="512" ht="22.5" customHeight="1">
      <c r="A512" s="4" t="s">
        <v>1200</v>
      </c>
      <c r="B512" s="5">
        <v>118000.0</v>
      </c>
      <c r="C512" s="4" t="s">
        <v>969</v>
      </c>
      <c r="D512" s="6">
        <v>-0.44</v>
      </c>
      <c r="E512" s="5">
        <v>175.0</v>
      </c>
      <c r="F512" s="4" t="s">
        <v>198</v>
      </c>
      <c r="G512" s="4" t="s">
        <v>85</v>
      </c>
      <c r="H512" s="4" t="s">
        <v>1201</v>
      </c>
      <c r="I512" s="7"/>
      <c r="K512" s="4" t="s">
        <v>12</v>
      </c>
      <c r="L512" s="7">
        <f t="shared" si="1"/>
        <v>37</v>
      </c>
      <c r="M512" s="7"/>
    </row>
    <row r="513" ht="22.5" customHeight="1">
      <c r="A513" s="4" t="s">
        <v>1202</v>
      </c>
      <c r="B513" s="5">
        <v>108500.0</v>
      </c>
      <c r="C513" s="4" t="s">
        <v>1176</v>
      </c>
      <c r="D513" s="6">
        <v>-0.45</v>
      </c>
      <c r="E513" s="5">
        <v>1.0</v>
      </c>
      <c r="F513" s="4" t="s">
        <v>11</v>
      </c>
      <c r="G513" s="4" t="s">
        <v>66</v>
      </c>
      <c r="H513" s="4" t="s">
        <v>1203</v>
      </c>
      <c r="I513" s="7"/>
      <c r="K513" s="4" t="s">
        <v>12</v>
      </c>
      <c r="L513" s="7">
        <f t="shared" si="1"/>
        <v>37</v>
      </c>
      <c r="M513" s="7"/>
    </row>
    <row r="514" ht="22.5" customHeight="1">
      <c r="A514" s="4" t="s">
        <v>1204</v>
      </c>
      <c r="B514" s="5">
        <v>199000.0</v>
      </c>
      <c r="C514" s="4" t="s">
        <v>1205</v>
      </c>
      <c r="D514" s="6">
        <v>-0.45</v>
      </c>
      <c r="E514" s="5">
        <v>63.0</v>
      </c>
      <c r="F514" s="4" t="s">
        <v>70</v>
      </c>
      <c r="G514" s="4" t="s">
        <v>66</v>
      </c>
      <c r="H514" s="4" t="s">
        <v>1206</v>
      </c>
      <c r="I514" s="7"/>
      <c r="K514" s="4" t="s">
        <v>12</v>
      </c>
      <c r="L514" s="7">
        <f t="shared" si="1"/>
        <v>37</v>
      </c>
      <c r="M514" s="7"/>
    </row>
    <row r="515" ht="22.5" customHeight="1">
      <c r="A515" s="4" t="s">
        <v>1207</v>
      </c>
      <c r="B515" s="5">
        <v>164799.0</v>
      </c>
      <c r="C515" s="4" t="s">
        <v>1208</v>
      </c>
      <c r="D515" s="6">
        <v>-0.45</v>
      </c>
      <c r="E515" s="5">
        <v>98.0</v>
      </c>
      <c r="F515" s="4" t="s">
        <v>114</v>
      </c>
      <c r="G515" s="4" t="s">
        <v>41</v>
      </c>
      <c r="H515" s="4" t="s">
        <v>1209</v>
      </c>
      <c r="I515" s="7"/>
      <c r="K515" s="4" t="s">
        <v>12</v>
      </c>
      <c r="L515" s="7">
        <f t="shared" si="1"/>
        <v>37</v>
      </c>
      <c r="M515" s="7"/>
    </row>
    <row r="516" ht="22.5" customHeight="1">
      <c r="A516" s="4" t="s">
        <v>1210</v>
      </c>
      <c r="B516" s="5">
        <v>93000.0</v>
      </c>
      <c r="C516" s="4" t="s">
        <v>1211</v>
      </c>
      <c r="D516" s="6">
        <v>-0.45</v>
      </c>
      <c r="E516" s="5">
        <v>2000.0</v>
      </c>
      <c r="F516" s="4" t="s">
        <v>198</v>
      </c>
      <c r="G516" s="4" t="s">
        <v>66</v>
      </c>
      <c r="H516" s="4" t="s">
        <v>1212</v>
      </c>
      <c r="I516" s="7"/>
      <c r="K516" s="4" t="s">
        <v>12</v>
      </c>
      <c r="L516" s="7">
        <f t="shared" si="1"/>
        <v>37</v>
      </c>
      <c r="M516" s="7"/>
    </row>
    <row r="517" ht="22.5" customHeight="1">
      <c r="A517" s="4" t="s">
        <v>1213</v>
      </c>
      <c r="B517" s="5">
        <v>90000.0</v>
      </c>
      <c r="C517" s="4" t="s">
        <v>996</v>
      </c>
      <c r="D517" s="6">
        <v>-0.45</v>
      </c>
      <c r="E517" s="5">
        <v>2000.0</v>
      </c>
      <c r="F517" s="4" t="s">
        <v>324</v>
      </c>
      <c r="G517" s="4" t="s">
        <v>41</v>
      </c>
      <c r="H517" s="4" t="s">
        <v>1214</v>
      </c>
      <c r="I517" s="7"/>
      <c r="K517" s="4" t="s">
        <v>12</v>
      </c>
      <c r="L517" s="7">
        <f t="shared" si="1"/>
        <v>37</v>
      </c>
      <c r="M517" s="7"/>
    </row>
    <row r="518" ht="22.5" customHeight="1">
      <c r="A518" s="4" t="s">
        <v>1215</v>
      </c>
      <c r="B518" s="5">
        <v>232200.0</v>
      </c>
      <c r="C518" s="4" t="s">
        <v>1216</v>
      </c>
      <c r="D518" s="6">
        <v>-0.45</v>
      </c>
      <c r="E518" s="5">
        <v>214.0</v>
      </c>
      <c r="F518" s="4" t="s">
        <v>324</v>
      </c>
      <c r="G518" s="4" t="s">
        <v>66</v>
      </c>
      <c r="H518" s="4" t="s">
        <v>1217</v>
      </c>
      <c r="I518" s="7"/>
      <c r="K518" s="4" t="s">
        <v>12</v>
      </c>
      <c r="L518" s="7">
        <f t="shared" si="1"/>
        <v>37</v>
      </c>
      <c r="M518" s="7"/>
    </row>
    <row r="519" ht="22.5" customHeight="1">
      <c r="A519" s="4" t="s">
        <v>1126</v>
      </c>
      <c r="B519" s="5">
        <v>98499.0</v>
      </c>
      <c r="C519" s="4" t="s">
        <v>1007</v>
      </c>
      <c r="D519" s="6">
        <v>-0.46</v>
      </c>
      <c r="E519" s="5">
        <v>48.0</v>
      </c>
      <c r="F519" s="4" t="s">
        <v>55</v>
      </c>
      <c r="G519" s="4" t="s">
        <v>66</v>
      </c>
      <c r="H519" s="4" t="s">
        <v>1218</v>
      </c>
      <c r="I519" s="7"/>
      <c r="K519" s="4" t="s">
        <v>12</v>
      </c>
      <c r="L519" s="7">
        <f t="shared" si="1"/>
        <v>37</v>
      </c>
      <c r="M519" s="7"/>
    </row>
    <row r="520" ht="22.5" customHeight="1">
      <c r="A520" s="4" t="s">
        <v>1219</v>
      </c>
      <c r="B520" s="5">
        <v>64000.0</v>
      </c>
      <c r="C520" s="4" t="s">
        <v>1220</v>
      </c>
      <c r="D520" s="6">
        <v>-0.46</v>
      </c>
      <c r="E520" s="5">
        <v>126.0</v>
      </c>
      <c r="F520" s="4" t="s">
        <v>75</v>
      </c>
      <c r="G520" s="4" t="s">
        <v>41</v>
      </c>
      <c r="H520" s="4" t="s">
        <v>1221</v>
      </c>
      <c r="I520" s="7"/>
      <c r="K520" s="4" t="s">
        <v>12</v>
      </c>
      <c r="L520" s="7">
        <f t="shared" si="1"/>
        <v>37</v>
      </c>
      <c r="M520" s="7"/>
    </row>
    <row r="521" ht="22.5" customHeight="1">
      <c r="A521" s="4" t="s">
        <v>1222</v>
      </c>
      <c r="B521" s="5">
        <v>93800.0</v>
      </c>
      <c r="C521" s="4" t="s">
        <v>996</v>
      </c>
      <c r="D521" s="6">
        <v>-0.46</v>
      </c>
      <c r="E521" s="5">
        <v>337.0</v>
      </c>
      <c r="F521" s="4" t="s">
        <v>198</v>
      </c>
      <c r="G521" s="4" t="s">
        <v>66</v>
      </c>
      <c r="H521" s="4" t="s">
        <v>1223</v>
      </c>
      <c r="I521" s="7"/>
      <c r="K521" s="4" t="s">
        <v>12</v>
      </c>
      <c r="L521" s="7">
        <f t="shared" si="1"/>
        <v>37</v>
      </c>
      <c r="M521" s="7"/>
    </row>
    <row r="522" ht="22.5" customHeight="1">
      <c r="A522" s="4" t="s">
        <v>1224</v>
      </c>
      <c r="B522" s="5">
        <v>244754.0</v>
      </c>
      <c r="C522" s="4" t="s">
        <v>1225</v>
      </c>
      <c r="D522" s="6">
        <v>-0.46</v>
      </c>
      <c r="E522" s="5">
        <v>109.0</v>
      </c>
      <c r="F522" s="4" t="s">
        <v>198</v>
      </c>
      <c r="G522" s="4" t="s">
        <v>66</v>
      </c>
      <c r="H522" s="4" t="s">
        <v>1226</v>
      </c>
      <c r="I522" s="7"/>
      <c r="K522" s="4" t="s">
        <v>83</v>
      </c>
      <c r="L522" s="7">
        <f t="shared" si="1"/>
        <v>8</v>
      </c>
      <c r="M522" s="7"/>
    </row>
    <row r="523" ht="22.5" customHeight="1">
      <c r="A523" s="4" t="s">
        <v>1227</v>
      </c>
      <c r="B523" s="5">
        <v>94000.0</v>
      </c>
      <c r="C523" s="4" t="s">
        <v>996</v>
      </c>
      <c r="D523" s="6">
        <v>-0.46</v>
      </c>
      <c r="E523" s="5">
        <v>323.0</v>
      </c>
      <c r="F523" s="4" t="s">
        <v>324</v>
      </c>
      <c r="G523" s="4" t="s">
        <v>66</v>
      </c>
      <c r="H523" s="4" t="s">
        <v>1228</v>
      </c>
      <c r="I523" s="7"/>
      <c r="K523" s="4" t="s">
        <v>83</v>
      </c>
      <c r="L523" s="7">
        <f t="shared" si="1"/>
        <v>8</v>
      </c>
      <c r="M523" s="7"/>
    </row>
    <row r="524" ht="22.5" customHeight="1">
      <c r="A524" s="4" t="s">
        <v>1229</v>
      </c>
      <c r="B524" s="5">
        <v>107500.0</v>
      </c>
      <c r="C524" s="4" t="s">
        <v>1230</v>
      </c>
      <c r="D524" s="6">
        <v>-0.46</v>
      </c>
      <c r="E524" s="5">
        <v>72.0</v>
      </c>
      <c r="F524" s="4" t="s">
        <v>324</v>
      </c>
      <c r="G524" s="4" t="s">
        <v>35</v>
      </c>
      <c r="H524" s="4" t="s">
        <v>1231</v>
      </c>
      <c r="I524" s="7"/>
      <c r="K524" s="4" t="s">
        <v>83</v>
      </c>
      <c r="L524" s="7">
        <f t="shared" si="1"/>
        <v>8</v>
      </c>
      <c r="M524" s="7"/>
    </row>
    <row r="525" ht="22.5" customHeight="1">
      <c r="A525" s="4" t="s">
        <v>1232</v>
      </c>
      <c r="B525" s="5">
        <v>188000.0</v>
      </c>
      <c r="C525" s="4" t="s">
        <v>1233</v>
      </c>
      <c r="D525" s="6">
        <v>-0.46</v>
      </c>
      <c r="E525" s="5">
        <v>11.0</v>
      </c>
      <c r="F525" s="4" t="s">
        <v>324</v>
      </c>
      <c r="G525" s="4" t="s">
        <v>41</v>
      </c>
      <c r="H525" s="4" t="s">
        <v>1234</v>
      </c>
      <c r="I525" s="7"/>
      <c r="K525" s="4" t="s">
        <v>83</v>
      </c>
      <c r="L525" s="7">
        <f t="shared" si="1"/>
        <v>8</v>
      </c>
      <c r="M525" s="7"/>
    </row>
    <row r="526" ht="22.5" customHeight="1">
      <c r="A526" s="4" t="s">
        <v>1235</v>
      </c>
      <c r="B526" s="5">
        <v>93500.0</v>
      </c>
      <c r="C526" s="4" t="s">
        <v>996</v>
      </c>
      <c r="D526" s="6">
        <v>-0.46</v>
      </c>
      <c r="E526" s="5">
        <v>6.0</v>
      </c>
      <c r="F526" s="4" t="s">
        <v>569</v>
      </c>
      <c r="G526" s="4" t="s">
        <v>66</v>
      </c>
      <c r="H526" s="4" t="s">
        <v>1236</v>
      </c>
      <c r="I526" s="7"/>
      <c r="K526" s="4" t="s">
        <v>83</v>
      </c>
      <c r="L526" s="7">
        <f t="shared" si="1"/>
        <v>8</v>
      </c>
      <c r="M526" s="7"/>
    </row>
    <row r="527" ht="22.5" customHeight="1">
      <c r="A527" s="4" t="s">
        <v>1237</v>
      </c>
      <c r="B527" s="5">
        <v>180000.0</v>
      </c>
      <c r="C527" s="4" t="s">
        <v>1238</v>
      </c>
      <c r="D527" s="6">
        <v>-0.46</v>
      </c>
      <c r="E527" s="5">
        <v>418.0</v>
      </c>
      <c r="F527" s="4" t="s">
        <v>1182</v>
      </c>
      <c r="G527" s="4" t="s">
        <v>41</v>
      </c>
      <c r="H527" s="4" t="s">
        <v>1239</v>
      </c>
      <c r="I527" s="7"/>
      <c r="K527" s="4" t="s">
        <v>83</v>
      </c>
      <c r="L527" s="7">
        <f t="shared" si="1"/>
        <v>8</v>
      </c>
      <c r="M527" s="7"/>
    </row>
    <row r="528" ht="22.5" customHeight="1">
      <c r="A528" s="4" t="s">
        <v>1240</v>
      </c>
      <c r="B528" s="5">
        <v>99540.0</v>
      </c>
      <c r="C528" s="4" t="s">
        <v>1241</v>
      </c>
      <c r="D528" s="6">
        <v>-0.47</v>
      </c>
      <c r="E528" s="5">
        <v>17.0</v>
      </c>
      <c r="F528" s="4" t="s">
        <v>1242</v>
      </c>
      <c r="G528" s="4" t="s">
        <v>66</v>
      </c>
      <c r="H528" s="4" t="s">
        <v>1243</v>
      </c>
      <c r="I528" s="7"/>
      <c r="K528" s="4" t="s">
        <v>83</v>
      </c>
      <c r="L528" s="7">
        <f t="shared" si="1"/>
        <v>8</v>
      </c>
      <c r="M528" s="7"/>
    </row>
    <row r="529" ht="22.5" customHeight="1">
      <c r="A529" s="4" t="s">
        <v>1244</v>
      </c>
      <c r="B529" s="5">
        <v>158000.0</v>
      </c>
      <c r="C529" s="4" t="s">
        <v>1245</v>
      </c>
      <c r="D529" s="6">
        <v>-0.47</v>
      </c>
      <c r="E529" s="5">
        <v>154.0</v>
      </c>
      <c r="F529" s="4" t="s">
        <v>114</v>
      </c>
      <c r="G529" s="4" t="s">
        <v>66</v>
      </c>
      <c r="H529" s="4" t="s">
        <v>1246</v>
      </c>
      <c r="I529" s="7"/>
      <c r="K529" s="4" t="s">
        <v>83</v>
      </c>
      <c r="L529" s="7">
        <f t="shared" si="1"/>
        <v>8</v>
      </c>
      <c r="M529" s="7"/>
    </row>
    <row r="530" ht="22.5" customHeight="1">
      <c r="A530" s="4" t="s">
        <v>1247</v>
      </c>
      <c r="B530" s="5">
        <v>295000.0</v>
      </c>
      <c r="C530" s="4" t="s">
        <v>1248</v>
      </c>
      <c r="D530" s="6">
        <v>-0.47</v>
      </c>
      <c r="E530" s="5">
        <v>364.0</v>
      </c>
      <c r="F530" s="4" t="s">
        <v>157</v>
      </c>
      <c r="G530" s="4" t="s">
        <v>66</v>
      </c>
      <c r="H530" s="4" t="s">
        <v>1249</v>
      </c>
      <c r="I530" s="7"/>
      <c r="K530" s="4" t="s">
        <v>144</v>
      </c>
      <c r="L530" s="7">
        <f t="shared" si="1"/>
        <v>2</v>
      </c>
      <c r="M530" s="7"/>
    </row>
    <row r="531" ht="22.5" customHeight="1">
      <c r="A531" s="4" t="s">
        <v>1250</v>
      </c>
      <c r="B531" s="5">
        <v>572000.0</v>
      </c>
      <c r="C531" s="4" t="s">
        <v>1251</v>
      </c>
      <c r="D531" s="6">
        <v>-0.47</v>
      </c>
      <c r="E531" s="5">
        <v>1000.0</v>
      </c>
      <c r="F531" s="4" t="s">
        <v>157</v>
      </c>
      <c r="G531" s="4" t="s">
        <v>41</v>
      </c>
      <c r="H531" s="4" t="s">
        <v>1252</v>
      </c>
      <c r="I531" s="7"/>
      <c r="K531" s="4" t="s">
        <v>144</v>
      </c>
      <c r="L531" s="7">
        <f t="shared" si="1"/>
        <v>2</v>
      </c>
      <c r="M531" s="7"/>
    </row>
    <row r="532" ht="22.5" customHeight="1">
      <c r="A532" s="4" t="s">
        <v>1253</v>
      </c>
      <c r="B532" s="5">
        <v>110000.0</v>
      </c>
      <c r="C532" s="4" t="s">
        <v>1254</v>
      </c>
      <c r="D532" s="6">
        <v>-0.47</v>
      </c>
      <c r="E532" s="5">
        <v>1000.0</v>
      </c>
      <c r="F532" s="4" t="s">
        <v>324</v>
      </c>
      <c r="G532" s="4" t="s">
        <v>66</v>
      </c>
      <c r="H532" s="4" t="s">
        <v>1255</v>
      </c>
      <c r="I532" s="7"/>
      <c r="K532" s="4" t="s">
        <v>147</v>
      </c>
      <c r="L532" s="7">
        <f t="shared" si="1"/>
        <v>7</v>
      </c>
      <c r="M532" s="7"/>
    </row>
    <row r="533" ht="22.5" customHeight="1">
      <c r="A533" s="4" t="s">
        <v>1256</v>
      </c>
      <c r="B533" s="5">
        <v>127105.0</v>
      </c>
      <c r="C533" s="4" t="s">
        <v>1109</v>
      </c>
      <c r="D533" s="6">
        <v>-0.48</v>
      </c>
      <c r="E533" s="5">
        <v>9.0</v>
      </c>
      <c r="F533" s="4" t="s">
        <v>114</v>
      </c>
      <c r="G533" s="4" t="s">
        <v>66</v>
      </c>
      <c r="H533" s="4" t="s">
        <v>1257</v>
      </c>
      <c r="I533" s="7"/>
      <c r="K533" s="4" t="s">
        <v>147</v>
      </c>
      <c r="L533" s="7">
        <f t="shared" si="1"/>
        <v>7</v>
      </c>
      <c r="M533" s="7"/>
    </row>
    <row r="534" ht="22.5" customHeight="1">
      <c r="A534" s="4" t="s">
        <v>1258</v>
      </c>
      <c r="B534" s="5">
        <v>244200.0</v>
      </c>
      <c r="C534" s="4" t="s">
        <v>1259</v>
      </c>
      <c r="D534" s="6">
        <v>-0.48</v>
      </c>
      <c r="E534" s="5">
        <v>19.0</v>
      </c>
      <c r="F534" s="4" t="s">
        <v>157</v>
      </c>
      <c r="G534" s="4" t="s">
        <v>66</v>
      </c>
      <c r="H534" s="4" t="s">
        <v>1260</v>
      </c>
      <c r="I534" s="7"/>
      <c r="K534" s="4" t="s">
        <v>147</v>
      </c>
      <c r="L534" s="7">
        <f t="shared" si="1"/>
        <v>7</v>
      </c>
      <c r="M534" s="7"/>
    </row>
    <row r="535" ht="22.5" customHeight="1">
      <c r="A535" s="4" t="s">
        <v>1261</v>
      </c>
      <c r="B535" s="5">
        <v>65000.0</v>
      </c>
      <c r="C535" s="4" t="s">
        <v>1251</v>
      </c>
      <c r="D535" s="6">
        <v>-0.48</v>
      </c>
      <c r="E535" s="5">
        <v>20.0</v>
      </c>
      <c r="F535" s="4" t="s">
        <v>476</v>
      </c>
      <c r="G535" s="4" t="s">
        <v>35</v>
      </c>
      <c r="H535" s="4" t="s">
        <v>1262</v>
      </c>
      <c r="I535" s="7"/>
      <c r="K535" s="4" t="s">
        <v>147</v>
      </c>
      <c r="L535" s="7">
        <f t="shared" si="1"/>
        <v>7</v>
      </c>
      <c r="M535" s="7"/>
    </row>
    <row r="536" ht="22.5" customHeight="1">
      <c r="A536" s="4" t="s">
        <v>1263</v>
      </c>
      <c r="B536" s="5">
        <v>101500.0</v>
      </c>
      <c r="C536" s="4" t="s">
        <v>1264</v>
      </c>
      <c r="D536" s="6">
        <v>-0.49</v>
      </c>
      <c r="E536" s="5">
        <v>1000.0</v>
      </c>
      <c r="F536" s="4" t="s">
        <v>157</v>
      </c>
      <c r="G536" s="4" t="s">
        <v>12</v>
      </c>
      <c r="H536" s="4" t="s">
        <v>1265</v>
      </c>
      <c r="I536" s="7"/>
      <c r="K536" s="4" t="s">
        <v>147</v>
      </c>
      <c r="L536" s="7">
        <f t="shared" si="1"/>
        <v>7</v>
      </c>
      <c r="M536" s="7"/>
    </row>
    <row r="537" ht="22.5" customHeight="1">
      <c r="A537" s="4" t="s">
        <v>1266</v>
      </c>
      <c r="B537" s="5">
        <v>105735.0</v>
      </c>
      <c r="C537" s="4" t="s">
        <v>1267</v>
      </c>
      <c r="D537" s="6">
        <v>-0.49</v>
      </c>
      <c r="E537" s="5">
        <v>79.0</v>
      </c>
      <c r="F537" s="4" t="s">
        <v>157</v>
      </c>
      <c r="G537" s="4" t="s">
        <v>66</v>
      </c>
      <c r="H537" s="4" t="s">
        <v>1268</v>
      </c>
      <c r="I537" s="7"/>
      <c r="K537" s="4" t="s">
        <v>147</v>
      </c>
      <c r="L537" s="7">
        <f t="shared" si="1"/>
        <v>7</v>
      </c>
      <c r="M537" s="7"/>
    </row>
    <row r="538" ht="22.5" customHeight="1">
      <c r="A538" s="4" t="s">
        <v>1269</v>
      </c>
      <c r="B538" s="5">
        <v>43000.0</v>
      </c>
      <c r="C538" s="4" t="s">
        <v>1270</v>
      </c>
      <c r="D538" s="6">
        <v>-0.49</v>
      </c>
      <c r="E538" s="5">
        <v>143.0</v>
      </c>
      <c r="F538" s="4" t="s">
        <v>198</v>
      </c>
      <c r="G538" s="4" t="s">
        <v>41</v>
      </c>
      <c r="H538" s="4" t="s">
        <v>1271</v>
      </c>
      <c r="I538" s="7"/>
      <c r="K538" s="4" t="s">
        <v>147</v>
      </c>
      <c r="L538" s="7">
        <f t="shared" si="1"/>
        <v>7</v>
      </c>
      <c r="M538" s="7"/>
    </row>
    <row r="539" ht="22.5" customHeight="1">
      <c r="A539" s="4" t="s">
        <v>1272</v>
      </c>
      <c r="B539" s="5">
        <v>109200.0</v>
      </c>
      <c r="C539" s="4" t="s">
        <v>1063</v>
      </c>
      <c r="D539" s="6">
        <v>-0.49</v>
      </c>
      <c r="E539" s="5">
        <v>150.0</v>
      </c>
      <c r="F539" s="4" t="s">
        <v>198</v>
      </c>
      <c r="G539" s="4" t="s">
        <v>66</v>
      </c>
      <c r="H539" s="4" t="s">
        <v>1273</v>
      </c>
      <c r="I539" s="7"/>
      <c r="K539" s="4" t="s">
        <v>150</v>
      </c>
      <c r="L539" s="7">
        <f t="shared" si="1"/>
        <v>3</v>
      </c>
      <c r="M539" s="7"/>
    </row>
    <row r="540" ht="22.5" customHeight="1">
      <c r="A540" s="4" t="s">
        <v>1274</v>
      </c>
      <c r="B540" s="5">
        <v>127500.0</v>
      </c>
      <c r="C540" s="4" t="s">
        <v>1109</v>
      </c>
      <c r="D540" s="6">
        <v>-0.49</v>
      </c>
      <c r="E540" s="5">
        <v>22.0</v>
      </c>
      <c r="F540" s="4" t="s">
        <v>324</v>
      </c>
      <c r="G540" s="4" t="s">
        <v>66</v>
      </c>
      <c r="H540" s="4" t="s">
        <v>1275</v>
      </c>
      <c r="I540" s="7"/>
      <c r="K540" s="4" t="s">
        <v>150</v>
      </c>
      <c r="L540" s="7">
        <f t="shared" si="1"/>
        <v>3</v>
      </c>
      <c r="M540" s="7"/>
    </row>
    <row r="541" ht="22.5" customHeight="1">
      <c r="A541" s="4" t="s">
        <v>1276</v>
      </c>
      <c r="B541" s="5">
        <v>365000.0</v>
      </c>
      <c r="C541" s="4" t="s">
        <v>1277</v>
      </c>
      <c r="D541" s="6">
        <v>-0.5</v>
      </c>
      <c r="E541" s="5">
        <v>594.0</v>
      </c>
      <c r="F541" s="4" t="s">
        <v>79</v>
      </c>
      <c r="G541" s="4" t="s">
        <v>66</v>
      </c>
      <c r="H541" s="4" t="s">
        <v>1278</v>
      </c>
      <c r="I541" s="7"/>
      <c r="K541" s="4" t="s">
        <v>150</v>
      </c>
      <c r="L541" s="7">
        <f t="shared" si="1"/>
        <v>3</v>
      </c>
      <c r="M541" s="7"/>
    </row>
    <row r="542" ht="22.5" customHeight="1">
      <c r="A542" s="4" t="s">
        <v>1279</v>
      </c>
      <c r="B542" s="5">
        <v>89000.0</v>
      </c>
      <c r="C542" s="4" t="s">
        <v>1280</v>
      </c>
      <c r="D542" s="6">
        <v>-0.5</v>
      </c>
      <c r="E542" s="5">
        <v>2000.0</v>
      </c>
      <c r="F542" s="4" t="s">
        <v>101</v>
      </c>
      <c r="G542" s="4" t="s">
        <v>41</v>
      </c>
      <c r="H542" s="4" t="s">
        <v>1281</v>
      </c>
      <c r="I542" s="7"/>
      <c r="K542" s="4" t="s">
        <v>153</v>
      </c>
      <c r="L542" s="7">
        <f t="shared" si="1"/>
        <v>1</v>
      </c>
      <c r="M542" s="7"/>
    </row>
    <row r="543" ht="22.5" customHeight="1">
      <c r="A543" s="4" t="s">
        <v>1282</v>
      </c>
      <c r="B543" s="5">
        <v>203880.0</v>
      </c>
      <c r="C543" s="4" t="s">
        <v>1283</v>
      </c>
      <c r="D543" s="6">
        <v>-0.5</v>
      </c>
      <c r="E543" s="5">
        <v>507.0</v>
      </c>
      <c r="F543" s="4" t="s">
        <v>101</v>
      </c>
      <c r="G543" s="4" t="s">
        <v>66</v>
      </c>
      <c r="H543" s="4" t="s">
        <v>1284</v>
      </c>
      <c r="I543" s="7"/>
      <c r="K543" s="4" t="s">
        <v>115</v>
      </c>
      <c r="L543" s="7">
        <f t="shared" si="1"/>
        <v>17</v>
      </c>
      <c r="M543" s="7"/>
    </row>
    <row r="544" ht="22.5" customHeight="1">
      <c r="A544" s="4" t="s">
        <v>1285</v>
      </c>
      <c r="B544" s="5">
        <v>195000.0</v>
      </c>
      <c r="C544" s="4" t="s">
        <v>1286</v>
      </c>
      <c r="D544" s="6">
        <v>-0.5</v>
      </c>
      <c r="E544" s="5">
        <v>534.0</v>
      </c>
      <c r="F544" s="4" t="s">
        <v>114</v>
      </c>
      <c r="G544" s="4" t="s">
        <v>66</v>
      </c>
      <c r="H544" s="4" t="s">
        <v>1287</v>
      </c>
      <c r="I544" s="7"/>
      <c r="K544" s="4" t="s">
        <v>115</v>
      </c>
      <c r="L544" s="7">
        <f t="shared" si="1"/>
        <v>17</v>
      </c>
      <c r="M544" s="7"/>
    </row>
    <row r="545" ht="22.5" customHeight="1">
      <c r="A545" s="4" t="s">
        <v>1288</v>
      </c>
      <c r="B545" s="5">
        <v>277490.0</v>
      </c>
      <c r="C545" s="4" t="s">
        <v>1196</v>
      </c>
      <c r="D545" s="6">
        <v>-0.5</v>
      </c>
      <c r="E545" s="5">
        <v>971.0</v>
      </c>
      <c r="F545" s="4" t="s">
        <v>114</v>
      </c>
      <c r="G545" s="4" t="s">
        <v>66</v>
      </c>
      <c r="H545" s="4" t="s">
        <v>1289</v>
      </c>
      <c r="I545" s="7"/>
      <c r="K545" s="4" t="s">
        <v>115</v>
      </c>
      <c r="L545" s="7">
        <f t="shared" si="1"/>
        <v>17</v>
      </c>
      <c r="M545" s="7"/>
    </row>
    <row r="546" ht="22.5" customHeight="1">
      <c r="A546" s="4" t="s">
        <v>1290</v>
      </c>
      <c r="B546" s="5">
        <v>79500.0</v>
      </c>
      <c r="C546" s="4" t="s">
        <v>1220</v>
      </c>
      <c r="D546" s="6">
        <v>-0.5</v>
      </c>
      <c r="E546" s="5">
        <v>61.0</v>
      </c>
      <c r="F546" s="4" t="s">
        <v>157</v>
      </c>
      <c r="G546" s="4" t="s">
        <v>66</v>
      </c>
      <c r="H546" s="4" t="s">
        <v>1291</v>
      </c>
      <c r="I546" s="7"/>
      <c r="K546" s="4" t="s">
        <v>115</v>
      </c>
      <c r="L546" s="7">
        <f t="shared" si="1"/>
        <v>17</v>
      </c>
      <c r="M546" s="7"/>
    </row>
    <row r="547" ht="22.5" customHeight="1">
      <c r="A547" s="4" t="s">
        <v>1292</v>
      </c>
      <c r="B547" s="5">
        <v>183000.0</v>
      </c>
      <c r="C547" s="4" t="s">
        <v>1293</v>
      </c>
      <c r="D547" s="6">
        <v>-0.5</v>
      </c>
      <c r="E547" s="5">
        <v>61.0</v>
      </c>
      <c r="F547" s="4" t="s">
        <v>157</v>
      </c>
      <c r="G547" s="4" t="s">
        <v>66</v>
      </c>
      <c r="H547" s="4" t="s">
        <v>1294</v>
      </c>
      <c r="I547" s="7"/>
      <c r="K547" s="4" t="s">
        <v>115</v>
      </c>
      <c r="L547" s="7">
        <f t="shared" si="1"/>
        <v>17</v>
      </c>
      <c r="M547" s="7"/>
    </row>
    <row r="548" ht="22.5" customHeight="1">
      <c r="A548" s="4" t="s">
        <v>1295</v>
      </c>
      <c r="B548" s="5">
        <v>43900.0</v>
      </c>
      <c r="C548" s="4" t="s">
        <v>1270</v>
      </c>
      <c r="D548" s="6">
        <v>-0.5</v>
      </c>
      <c r="E548" s="5">
        <v>174.0</v>
      </c>
      <c r="F548" s="4" t="s">
        <v>198</v>
      </c>
      <c r="G548" s="4" t="s">
        <v>66</v>
      </c>
      <c r="H548" s="4" t="s">
        <v>1296</v>
      </c>
      <c r="I548" s="7"/>
      <c r="K548" s="4" t="s">
        <v>115</v>
      </c>
      <c r="L548" s="7">
        <f t="shared" si="1"/>
        <v>17</v>
      </c>
      <c r="M548" s="7"/>
    </row>
    <row r="549" ht="22.5" customHeight="1">
      <c r="A549" s="4" t="s">
        <v>1297</v>
      </c>
      <c r="B549" s="5">
        <v>44000.0</v>
      </c>
      <c r="C549" s="4" t="s">
        <v>1270</v>
      </c>
      <c r="D549" s="6">
        <v>-0.5</v>
      </c>
      <c r="E549" s="5">
        <v>16.0</v>
      </c>
      <c r="F549" s="4" t="s">
        <v>198</v>
      </c>
      <c r="G549" s="4" t="s">
        <v>66</v>
      </c>
      <c r="H549" s="4" t="s">
        <v>1298</v>
      </c>
      <c r="I549" s="7"/>
      <c r="K549" s="4" t="s">
        <v>115</v>
      </c>
      <c r="L549" s="7">
        <f t="shared" si="1"/>
        <v>17</v>
      </c>
      <c r="M549" s="7"/>
    </row>
    <row r="550" ht="22.5" customHeight="1">
      <c r="A550" s="4" t="s">
        <v>1299</v>
      </c>
      <c r="B550" s="5">
        <v>218000.0</v>
      </c>
      <c r="C550" s="4" t="s">
        <v>1300</v>
      </c>
      <c r="D550" s="6">
        <v>-0.5</v>
      </c>
      <c r="E550" s="5">
        <v>720.0</v>
      </c>
      <c r="F550" s="4" t="s">
        <v>198</v>
      </c>
      <c r="G550" s="4" t="s">
        <v>66</v>
      </c>
      <c r="H550" s="4" t="s">
        <v>1301</v>
      </c>
      <c r="I550" s="7"/>
      <c r="K550" s="4" t="s">
        <v>115</v>
      </c>
      <c r="L550" s="7">
        <f t="shared" si="1"/>
        <v>17</v>
      </c>
      <c r="M550" s="7"/>
    </row>
    <row r="551" ht="22.5" customHeight="1">
      <c r="A551" s="4" t="s">
        <v>1302</v>
      </c>
      <c r="B551" s="5">
        <v>100500.0</v>
      </c>
      <c r="C551" s="4" t="s">
        <v>996</v>
      </c>
      <c r="D551" s="6">
        <v>-0.5</v>
      </c>
      <c r="E551" s="5">
        <v>1000.0</v>
      </c>
      <c r="F551" s="4" t="s">
        <v>324</v>
      </c>
      <c r="G551" s="4" t="s">
        <v>41</v>
      </c>
      <c r="H551" s="4" t="s">
        <v>1303</v>
      </c>
      <c r="I551" s="7"/>
      <c r="K551" s="4" t="s">
        <v>115</v>
      </c>
      <c r="L551" s="7">
        <f t="shared" si="1"/>
        <v>17</v>
      </c>
      <c r="M551" s="7"/>
    </row>
    <row r="552" ht="22.5" customHeight="1">
      <c r="A552" s="4" t="s">
        <v>1304</v>
      </c>
      <c r="B552" s="5">
        <v>184395.0</v>
      </c>
      <c r="C552" s="4" t="s">
        <v>1293</v>
      </c>
      <c r="D552" s="6">
        <v>-0.5</v>
      </c>
      <c r="E552" s="5">
        <v>3000.0</v>
      </c>
      <c r="F552" s="4" t="s">
        <v>324</v>
      </c>
      <c r="G552" s="4" t="s">
        <v>66</v>
      </c>
      <c r="H552" s="4" t="s">
        <v>1305</v>
      </c>
      <c r="I552" s="7"/>
      <c r="K552" s="4" t="s">
        <v>115</v>
      </c>
      <c r="L552" s="7">
        <f t="shared" si="1"/>
        <v>17</v>
      </c>
      <c r="M552" s="7"/>
    </row>
    <row r="553" ht="22.5" customHeight="1">
      <c r="A553" s="4" t="s">
        <v>1306</v>
      </c>
      <c r="B553" s="5">
        <v>219000.0</v>
      </c>
      <c r="C553" s="4" t="s">
        <v>1300</v>
      </c>
      <c r="D553" s="6">
        <v>-0.5</v>
      </c>
      <c r="E553" s="5">
        <v>366.0</v>
      </c>
      <c r="F553" s="4" t="s">
        <v>324</v>
      </c>
      <c r="G553" s="4" t="s">
        <v>66</v>
      </c>
      <c r="H553" s="4" t="s">
        <v>1307</v>
      </c>
      <c r="I553" s="7"/>
      <c r="K553" s="4" t="s">
        <v>115</v>
      </c>
      <c r="L553" s="7">
        <f t="shared" si="1"/>
        <v>17</v>
      </c>
      <c r="M553" s="7"/>
    </row>
    <row r="554" ht="22.5" customHeight="1">
      <c r="A554" s="4" t="s">
        <v>1306</v>
      </c>
      <c r="B554" s="5">
        <v>219000.0</v>
      </c>
      <c r="C554" s="4" t="s">
        <v>1300</v>
      </c>
      <c r="D554" s="6">
        <v>-0.5</v>
      </c>
      <c r="E554" s="5">
        <v>366.0</v>
      </c>
      <c r="F554" s="4" t="s">
        <v>324</v>
      </c>
      <c r="G554" s="4" t="s">
        <v>66</v>
      </c>
      <c r="H554" s="4" t="s">
        <v>1308</v>
      </c>
      <c r="I554" s="7"/>
      <c r="K554" s="4" t="s">
        <v>115</v>
      </c>
      <c r="L554" s="7">
        <f t="shared" si="1"/>
        <v>17</v>
      </c>
      <c r="M554" s="7"/>
    </row>
    <row r="555" ht="22.5" customHeight="1">
      <c r="A555" s="4" t="s">
        <v>1309</v>
      </c>
      <c r="B555" s="5">
        <v>375396.0</v>
      </c>
      <c r="C555" s="4" t="s">
        <v>1277</v>
      </c>
      <c r="D555" s="6">
        <v>-0.5</v>
      </c>
      <c r="E555" s="5">
        <v>486.0</v>
      </c>
      <c r="F555" s="4" t="s">
        <v>324</v>
      </c>
      <c r="G555" s="4" t="s">
        <v>49</v>
      </c>
      <c r="H555" s="4" t="s">
        <v>1310</v>
      </c>
      <c r="I555" s="7"/>
      <c r="K555" s="4" t="s">
        <v>115</v>
      </c>
      <c r="L555" s="7">
        <f t="shared" si="1"/>
        <v>17</v>
      </c>
      <c r="M555" s="7"/>
    </row>
    <row r="556" ht="22.5" customHeight="1">
      <c r="A556" s="4" t="s">
        <v>1311</v>
      </c>
      <c r="B556" s="5">
        <v>709998.0</v>
      </c>
      <c r="C556" s="4" t="s">
        <v>1251</v>
      </c>
      <c r="D556" s="6">
        <v>-0.5</v>
      </c>
      <c r="E556" s="5">
        <v>72.0</v>
      </c>
      <c r="F556" s="4" t="s">
        <v>324</v>
      </c>
      <c r="G556" s="4" t="s">
        <v>66</v>
      </c>
      <c r="H556" s="4" t="s">
        <v>1312</v>
      </c>
      <c r="I556" s="7"/>
      <c r="K556" s="4" t="s">
        <v>115</v>
      </c>
      <c r="L556" s="7">
        <f t="shared" si="1"/>
        <v>17</v>
      </c>
      <c r="M556" s="7"/>
    </row>
    <row r="557" ht="22.5" customHeight="1">
      <c r="A557" s="4" t="s">
        <v>1313</v>
      </c>
      <c r="B557" s="5">
        <v>117962.0</v>
      </c>
      <c r="C557" s="4" t="s">
        <v>1052</v>
      </c>
      <c r="D557" s="6">
        <v>-0.51</v>
      </c>
      <c r="E557" s="5">
        <v>51.0</v>
      </c>
      <c r="F557" s="4" t="s">
        <v>70</v>
      </c>
      <c r="G557" s="4" t="s">
        <v>66</v>
      </c>
      <c r="H557" s="4" t="s">
        <v>1314</v>
      </c>
      <c r="I557" s="7"/>
      <c r="K557" s="4" t="s">
        <v>115</v>
      </c>
      <c r="L557" s="7">
        <f t="shared" si="1"/>
        <v>17</v>
      </c>
      <c r="M557" s="7"/>
    </row>
    <row r="558" ht="22.5" customHeight="1">
      <c r="A558" s="4" t="s">
        <v>1315</v>
      </c>
      <c r="B558" s="5">
        <v>73800.0</v>
      </c>
      <c r="C558" s="4" t="s">
        <v>1251</v>
      </c>
      <c r="D558" s="6">
        <v>-0.51</v>
      </c>
      <c r="E558" s="5">
        <v>19.0</v>
      </c>
      <c r="F558" s="4" t="s">
        <v>75</v>
      </c>
      <c r="G558" s="4" t="s">
        <v>66</v>
      </c>
      <c r="H558" s="4" t="s">
        <v>1316</v>
      </c>
      <c r="I558" s="7"/>
      <c r="K558" s="4" t="s">
        <v>115</v>
      </c>
      <c r="L558" s="7">
        <f t="shared" si="1"/>
        <v>17</v>
      </c>
      <c r="M558" s="7"/>
    </row>
    <row r="559" ht="22.5" customHeight="1">
      <c r="A559" s="4" t="s">
        <v>1317</v>
      </c>
      <c r="B559" s="5">
        <v>39900.0</v>
      </c>
      <c r="C559" s="4" t="s">
        <v>1318</v>
      </c>
      <c r="D559" s="6">
        <v>-0.51</v>
      </c>
      <c r="E559" s="5">
        <v>6000.0</v>
      </c>
      <c r="F559" s="4" t="s">
        <v>198</v>
      </c>
      <c r="G559" s="4" t="s">
        <v>49</v>
      </c>
      <c r="H559" s="4" t="s">
        <v>1319</v>
      </c>
      <c r="I559" s="7"/>
      <c r="K559" s="4" t="s">
        <v>115</v>
      </c>
      <c r="L559" s="7">
        <f t="shared" si="1"/>
        <v>17</v>
      </c>
      <c r="M559" s="7"/>
    </row>
    <row r="560" ht="22.5" customHeight="1">
      <c r="A560" s="4" t="s">
        <v>1320</v>
      </c>
      <c r="B560" s="5">
        <v>40000.0</v>
      </c>
      <c r="C560" s="4" t="s">
        <v>1318</v>
      </c>
      <c r="D560" s="6">
        <v>-0.51</v>
      </c>
      <c r="E560" s="5">
        <v>702.0</v>
      </c>
      <c r="F560" s="4" t="s">
        <v>198</v>
      </c>
      <c r="G560" s="4" t="s">
        <v>49</v>
      </c>
      <c r="H560" s="4" t="s">
        <v>1321</v>
      </c>
      <c r="I560" s="7"/>
      <c r="K560" s="4" t="s">
        <v>159</v>
      </c>
      <c r="L560" s="7">
        <f t="shared" si="1"/>
        <v>2</v>
      </c>
      <c r="M560" s="7"/>
    </row>
    <row r="561" ht="22.5" customHeight="1">
      <c r="A561" s="4" t="s">
        <v>1322</v>
      </c>
      <c r="B561" s="5">
        <v>97500.0</v>
      </c>
      <c r="C561" s="4" t="s">
        <v>1140</v>
      </c>
      <c r="D561" s="6">
        <v>-0.51</v>
      </c>
      <c r="E561" s="5">
        <v>8000.0</v>
      </c>
      <c r="F561" s="4" t="s">
        <v>198</v>
      </c>
      <c r="G561" s="4" t="s">
        <v>66</v>
      </c>
      <c r="H561" s="4" t="s">
        <v>1323</v>
      </c>
      <c r="I561" s="7"/>
      <c r="K561" s="4" t="s">
        <v>159</v>
      </c>
      <c r="L561" s="7">
        <f t="shared" si="1"/>
        <v>2</v>
      </c>
      <c r="M561" s="7"/>
    </row>
    <row r="562" ht="22.5" customHeight="1">
      <c r="A562" s="4" t="s">
        <v>1324</v>
      </c>
      <c r="B562" s="5">
        <v>97500.0</v>
      </c>
      <c r="C562" s="4" t="s">
        <v>1140</v>
      </c>
      <c r="D562" s="6">
        <v>-0.51</v>
      </c>
      <c r="E562" s="5">
        <v>460.0</v>
      </c>
      <c r="F562" s="4" t="s">
        <v>198</v>
      </c>
      <c r="G562" s="4" t="s">
        <v>66</v>
      </c>
      <c r="H562" s="4" t="s">
        <v>1325</v>
      </c>
      <c r="I562" s="7"/>
      <c r="K562" s="4" t="s">
        <v>16</v>
      </c>
      <c r="L562" s="7">
        <f t="shared" si="1"/>
        <v>30</v>
      </c>
      <c r="M562" s="7"/>
    </row>
    <row r="563" ht="22.5" customHeight="1">
      <c r="A563" s="4" t="s">
        <v>1326</v>
      </c>
      <c r="B563" s="5">
        <v>395200.0</v>
      </c>
      <c r="C563" s="4" t="s">
        <v>1318</v>
      </c>
      <c r="D563" s="6">
        <v>-0.51</v>
      </c>
      <c r="E563" s="5">
        <v>553.0</v>
      </c>
      <c r="F563" s="4" t="s">
        <v>198</v>
      </c>
      <c r="G563" s="4" t="s">
        <v>49</v>
      </c>
      <c r="H563" s="4" t="s">
        <v>1327</v>
      </c>
      <c r="I563" s="7"/>
      <c r="K563" s="4" t="s">
        <v>16</v>
      </c>
      <c r="L563" s="7">
        <f t="shared" si="1"/>
        <v>30</v>
      </c>
      <c r="M563" s="7"/>
    </row>
    <row r="564" ht="22.5" customHeight="1">
      <c r="A564" s="4" t="s">
        <v>1328</v>
      </c>
      <c r="B564" s="5">
        <v>410995.0</v>
      </c>
      <c r="C564" s="4" t="s">
        <v>1329</v>
      </c>
      <c r="D564" s="6">
        <v>-0.51</v>
      </c>
      <c r="E564" s="5">
        <v>115.0</v>
      </c>
      <c r="F564" s="4" t="s">
        <v>324</v>
      </c>
      <c r="G564" s="4" t="s">
        <v>49</v>
      </c>
      <c r="H564" s="4" t="s">
        <v>1330</v>
      </c>
      <c r="I564" s="7"/>
      <c r="K564" s="4" t="s">
        <v>16</v>
      </c>
      <c r="L564" s="7">
        <f t="shared" si="1"/>
        <v>30</v>
      </c>
      <c r="M564" s="7"/>
    </row>
    <row r="565" ht="22.5" customHeight="1">
      <c r="A565" s="4" t="s">
        <v>1331</v>
      </c>
      <c r="B565" s="5">
        <v>75000.0</v>
      </c>
      <c r="C565" s="4" t="s">
        <v>1332</v>
      </c>
      <c r="D565" s="6">
        <v>-0.52</v>
      </c>
      <c r="E565" s="5">
        <v>121.0</v>
      </c>
      <c r="F565" s="4" t="s">
        <v>324</v>
      </c>
      <c r="G565" s="4" t="s">
        <v>41</v>
      </c>
      <c r="H565" s="4" t="s">
        <v>1333</v>
      </c>
      <c r="I565" s="7"/>
      <c r="K565" s="4" t="s">
        <v>16</v>
      </c>
      <c r="L565" s="7">
        <f t="shared" si="1"/>
        <v>30</v>
      </c>
      <c r="M565" s="7"/>
    </row>
    <row r="566" ht="22.5" customHeight="1">
      <c r="A566" s="4" t="s">
        <v>1334</v>
      </c>
      <c r="B566" s="5">
        <v>143960.0</v>
      </c>
      <c r="C566" s="4" t="s">
        <v>1335</v>
      </c>
      <c r="D566" s="6">
        <v>-0.52</v>
      </c>
      <c r="E566" s="5">
        <v>366.0</v>
      </c>
      <c r="F566" s="4" t="s">
        <v>324</v>
      </c>
      <c r="G566" s="4" t="s">
        <v>66</v>
      </c>
      <c r="H566" s="4" t="s">
        <v>1336</v>
      </c>
      <c r="I566" s="7"/>
      <c r="K566" s="4" t="s">
        <v>16</v>
      </c>
      <c r="L566" s="7">
        <f t="shared" si="1"/>
        <v>30</v>
      </c>
      <c r="M566" s="7"/>
    </row>
    <row r="567" ht="22.5" customHeight="1">
      <c r="A567" s="4" t="s">
        <v>1337</v>
      </c>
      <c r="B567" s="5">
        <v>97220.0</v>
      </c>
      <c r="C567" s="4" t="s">
        <v>1338</v>
      </c>
      <c r="D567" s="6">
        <v>-0.53</v>
      </c>
      <c r="E567" s="5">
        <v>227.0</v>
      </c>
      <c r="F567" s="4" t="s">
        <v>198</v>
      </c>
      <c r="G567" s="4" t="s">
        <v>41</v>
      </c>
      <c r="H567" s="4" t="s">
        <v>1339</v>
      </c>
      <c r="I567" s="7"/>
      <c r="K567" s="4" t="s">
        <v>16</v>
      </c>
      <c r="L567" s="7">
        <f t="shared" si="1"/>
        <v>30</v>
      </c>
      <c r="M567" s="7"/>
    </row>
    <row r="568" ht="22.5" customHeight="1">
      <c r="A568" s="4" t="s">
        <v>1340</v>
      </c>
      <c r="B568" s="5">
        <v>85000.0</v>
      </c>
      <c r="C568" s="4" t="s">
        <v>1341</v>
      </c>
      <c r="D568" s="6">
        <v>-0.53</v>
      </c>
      <c r="E568" s="5">
        <v>305.0</v>
      </c>
      <c r="F568" s="4" t="s">
        <v>324</v>
      </c>
      <c r="G568" s="4" t="s">
        <v>41</v>
      </c>
      <c r="H568" s="4" t="s">
        <v>1342</v>
      </c>
      <c r="I568" s="7"/>
      <c r="K568" s="4" t="s">
        <v>16</v>
      </c>
      <c r="L568" s="7">
        <f t="shared" si="1"/>
        <v>30</v>
      </c>
      <c r="M568" s="7"/>
    </row>
    <row r="569" ht="22.5" customHeight="1">
      <c r="A569" s="4" t="s">
        <v>1343</v>
      </c>
      <c r="B569" s="5">
        <v>101850.0</v>
      </c>
      <c r="C569" s="4" t="s">
        <v>1068</v>
      </c>
      <c r="D569" s="6">
        <v>-0.53</v>
      </c>
      <c r="E569" s="5">
        <v>868.0</v>
      </c>
      <c r="F569" s="4" t="s">
        <v>324</v>
      </c>
      <c r="G569" s="4" t="s">
        <v>66</v>
      </c>
      <c r="H569" s="4" t="s">
        <v>1344</v>
      </c>
      <c r="I569" s="7"/>
      <c r="K569" s="4" t="s">
        <v>16</v>
      </c>
      <c r="L569" s="7">
        <f t="shared" si="1"/>
        <v>30</v>
      </c>
      <c r="M569" s="7"/>
    </row>
    <row r="570" ht="22.5" customHeight="1">
      <c r="A570" s="4" t="s">
        <v>1345</v>
      </c>
      <c r="B570" s="5">
        <v>41900.0</v>
      </c>
      <c r="C570" s="4" t="s">
        <v>1106</v>
      </c>
      <c r="D570" s="6">
        <v>-0.54</v>
      </c>
      <c r="E570" s="5">
        <v>238.0</v>
      </c>
      <c r="F570" s="4" t="s">
        <v>75</v>
      </c>
      <c r="G570" s="4" t="s">
        <v>35</v>
      </c>
      <c r="H570" s="4" t="s">
        <v>1346</v>
      </c>
      <c r="I570" s="7"/>
      <c r="K570" s="4" t="s">
        <v>16</v>
      </c>
      <c r="L570" s="7">
        <f t="shared" si="1"/>
        <v>30</v>
      </c>
      <c r="M570" s="7"/>
    </row>
    <row r="571" ht="22.5" customHeight="1">
      <c r="A571" s="4" t="s">
        <v>899</v>
      </c>
      <c r="B571" s="5">
        <v>98000.0</v>
      </c>
      <c r="C571" s="4" t="s">
        <v>1347</v>
      </c>
      <c r="D571" s="6">
        <v>-0.54</v>
      </c>
      <c r="E571" s="5">
        <v>22.0</v>
      </c>
      <c r="F571" s="4" t="s">
        <v>101</v>
      </c>
      <c r="G571" s="4" t="s">
        <v>66</v>
      </c>
      <c r="H571" s="4" t="s">
        <v>1348</v>
      </c>
      <c r="I571" s="7"/>
      <c r="K571" s="4" t="s">
        <v>16</v>
      </c>
      <c r="L571" s="7">
        <f t="shared" si="1"/>
        <v>30</v>
      </c>
      <c r="M571" s="7"/>
    </row>
    <row r="572" ht="22.5" customHeight="1">
      <c r="A572" s="4" t="s">
        <v>1349</v>
      </c>
      <c r="B572" s="5">
        <v>105900.0</v>
      </c>
      <c r="C572" s="4" t="s">
        <v>1068</v>
      </c>
      <c r="D572" s="6">
        <v>-0.54</v>
      </c>
      <c r="E572" s="5">
        <v>58.0</v>
      </c>
      <c r="F572" s="4" t="s">
        <v>157</v>
      </c>
      <c r="G572" s="4" t="s">
        <v>66</v>
      </c>
      <c r="H572" s="4" t="s">
        <v>1350</v>
      </c>
      <c r="I572" s="7"/>
      <c r="K572" s="4" t="s">
        <v>16</v>
      </c>
      <c r="L572" s="7">
        <f t="shared" si="1"/>
        <v>30</v>
      </c>
      <c r="M572" s="7"/>
    </row>
    <row r="573" ht="22.5" customHeight="1">
      <c r="A573" s="4" t="s">
        <v>1351</v>
      </c>
      <c r="B573" s="5">
        <v>97500.0</v>
      </c>
      <c r="C573" s="4" t="s">
        <v>1352</v>
      </c>
      <c r="D573" s="6">
        <v>-0.54</v>
      </c>
      <c r="E573" s="5">
        <v>860.0</v>
      </c>
      <c r="F573" s="4" t="s">
        <v>198</v>
      </c>
      <c r="G573" s="4" t="s">
        <v>66</v>
      </c>
      <c r="H573" s="4" t="s">
        <v>1353</v>
      </c>
      <c r="I573" s="7"/>
      <c r="K573" s="4" t="s">
        <v>16</v>
      </c>
      <c r="L573" s="7">
        <f t="shared" si="1"/>
        <v>30</v>
      </c>
      <c r="M573" s="7"/>
    </row>
    <row r="574" ht="22.5" customHeight="1">
      <c r="A574" s="4" t="s">
        <v>1354</v>
      </c>
      <c r="B574" s="5">
        <v>133000.0</v>
      </c>
      <c r="C574" s="4" t="s">
        <v>1355</v>
      </c>
      <c r="D574" s="6">
        <v>-0.54</v>
      </c>
      <c r="E574" s="5">
        <v>77.0</v>
      </c>
      <c r="F574" s="4" t="s">
        <v>198</v>
      </c>
      <c r="G574" s="4" t="s">
        <v>66</v>
      </c>
      <c r="H574" s="4" t="s">
        <v>1356</v>
      </c>
      <c r="I574" s="7"/>
      <c r="K574" s="4" t="s">
        <v>16</v>
      </c>
      <c r="L574" s="7">
        <f t="shared" si="1"/>
        <v>30</v>
      </c>
      <c r="M574" s="7"/>
    </row>
    <row r="575" ht="22.5" customHeight="1">
      <c r="A575" s="4" t="s">
        <v>1357</v>
      </c>
      <c r="B575" s="5">
        <v>94273.0</v>
      </c>
      <c r="C575" s="4" t="s">
        <v>1358</v>
      </c>
      <c r="D575" s="6">
        <v>-0.54</v>
      </c>
      <c r="E575" s="5">
        <v>140.0</v>
      </c>
      <c r="F575" s="4" t="s">
        <v>324</v>
      </c>
      <c r="G575" s="4" t="s">
        <v>41</v>
      </c>
      <c r="H575" s="4" t="s">
        <v>1359</v>
      </c>
      <c r="I575" s="7"/>
      <c r="K575" s="4" t="s">
        <v>16</v>
      </c>
      <c r="L575" s="7">
        <f t="shared" si="1"/>
        <v>30</v>
      </c>
      <c r="M575" s="7"/>
    </row>
    <row r="576" ht="22.5" customHeight="1">
      <c r="A576" s="4" t="s">
        <v>1360</v>
      </c>
      <c r="B576" s="5">
        <v>85000.0</v>
      </c>
      <c r="C576" s="4" t="s">
        <v>1361</v>
      </c>
      <c r="D576" s="6">
        <v>-0.55</v>
      </c>
      <c r="E576" s="5">
        <v>972.0</v>
      </c>
      <c r="F576" s="4" t="s">
        <v>114</v>
      </c>
      <c r="G576" s="4" t="s">
        <v>66</v>
      </c>
      <c r="H576" s="4" t="s">
        <v>1362</v>
      </c>
      <c r="I576" s="7"/>
      <c r="K576" s="4" t="s">
        <v>16</v>
      </c>
      <c r="L576" s="7">
        <f t="shared" si="1"/>
        <v>30</v>
      </c>
      <c r="M576" s="7"/>
    </row>
    <row r="577" ht="22.5" customHeight="1">
      <c r="A577" s="4" t="s">
        <v>1363</v>
      </c>
      <c r="B577" s="5">
        <v>98500.0</v>
      </c>
      <c r="C577" s="4" t="s">
        <v>1352</v>
      </c>
      <c r="D577" s="6">
        <v>-0.55</v>
      </c>
      <c r="E577" s="5">
        <v>411.0</v>
      </c>
      <c r="F577" s="4" t="s">
        <v>157</v>
      </c>
      <c r="G577" s="4" t="s">
        <v>66</v>
      </c>
      <c r="H577" s="4" t="s">
        <v>1364</v>
      </c>
      <c r="I577" s="7"/>
      <c r="K577" s="4" t="s">
        <v>16</v>
      </c>
      <c r="L577" s="7">
        <f t="shared" si="1"/>
        <v>30</v>
      </c>
      <c r="M577" s="7"/>
    </row>
    <row r="578" ht="22.5" customHeight="1">
      <c r="A578" s="4" t="s">
        <v>1365</v>
      </c>
      <c r="B578" s="5">
        <v>485000.0</v>
      </c>
      <c r="C578" s="4" t="s">
        <v>1079</v>
      </c>
      <c r="D578" s="6">
        <v>-0.55</v>
      </c>
      <c r="E578" s="5">
        <v>2000.0</v>
      </c>
      <c r="F578" s="4" t="s">
        <v>157</v>
      </c>
      <c r="G578" s="4" t="s">
        <v>66</v>
      </c>
      <c r="H578" s="4" t="s">
        <v>1366</v>
      </c>
      <c r="I578" s="7"/>
      <c r="K578" s="4" t="s">
        <v>16</v>
      </c>
      <c r="L578" s="7">
        <f t="shared" si="1"/>
        <v>30</v>
      </c>
      <c r="M578" s="7"/>
    </row>
    <row r="579" ht="22.5" customHeight="1">
      <c r="A579" s="4" t="s">
        <v>1367</v>
      </c>
      <c r="B579" s="5">
        <v>74104.0</v>
      </c>
      <c r="C579" s="4" t="s">
        <v>1368</v>
      </c>
      <c r="D579" s="6">
        <v>-0.55</v>
      </c>
      <c r="E579" s="5">
        <v>219.0</v>
      </c>
      <c r="F579" s="4" t="s">
        <v>324</v>
      </c>
      <c r="G579" s="4" t="s">
        <v>66</v>
      </c>
      <c r="H579" s="4" t="s">
        <v>1369</v>
      </c>
      <c r="I579" s="7"/>
      <c r="K579" s="4" t="s">
        <v>16</v>
      </c>
      <c r="L579" s="7">
        <f t="shared" si="1"/>
        <v>30</v>
      </c>
      <c r="M579" s="7"/>
    </row>
    <row r="580" ht="22.5" customHeight="1">
      <c r="A580" s="4" t="s">
        <v>1370</v>
      </c>
      <c r="B580" s="5">
        <v>245000.0</v>
      </c>
      <c r="C580" s="4" t="s">
        <v>1371</v>
      </c>
      <c r="D580" s="6">
        <v>-0.55</v>
      </c>
      <c r="E580" s="5">
        <v>61.0</v>
      </c>
      <c r="F580" s="4" t="s">
        <v>324</v>
      </c>
      <c r="G580" s="4" t="s">
        <v>41</v>
      </c>
      <c r="H580" s="4" t="s">
        <v>1372</v>
      </c>
      <c r="I580" s="7"/>
      <c r="K580" s="4" t="s">
        <v>16</v>
      </c>
      <c r="L580" s="7">
        <f t="shared" si="1"/>
        <v>30</v>
      </c>
      <c r="M580" s="7"/>
    </row>
    <row r="581" ht="22.5" customHeight="1">
      <c r="A581" s="4" t="s">
        <v>1373</v>
      </c>
      <c r="B581" s="5">
        <v>250000.0</v>
      </c>
      <c r="C581" s="4" t="s">
        <v>1374</v>
      </c>
      <c r="D581" s="6">
        <v>-0.56</v>
      </c>
      <c r="E581" s="5">
        <v>110.0</v>
      </c>
      <c r="F581" s="4" t="s">
        <v>198</v>
      </c>
      <c r="G581" s="4" t="s">
        <v>66</v>
      </c>
      <c r="H581" s="4" t="s">
        <v>1375</v>
      </c>
      <c r="I581" s="7"/>
      <c r="K581" s="4" t="s">
        <v>16</v>
      </c>
      <c r="L581" s="7">
        <f t="shared" si="1"/>
        <v>30</v>
      </c>
      <c r="M581" s="7"/>
    </row>
    <row r="582" ht="22.5" customHeight="1">
      <c r="A582" s="4" t="s">
        <v>1376</v>
      </c>
      <c r="B582" s="5">
        <v>177700.0</v>
      </c>
      <c r="C582" s="4" t="s">
        <v>1377</v>
      </c>
      <c r="D582" s="6">
        <v>-0.56</v>
      </c>
      <c r="E582" s="5">
        <v>10.0</v>
      </c>
      <c r="F582" s="4" t="s">
        <v>569</v>
      </c>
      <c r="G582" s="4" t="s">
        <v>41</v>
      </c>
      <c r="H582" s="4" t="s">
        <v>1378</v>
      </c>
      <c r="I582" s="7"/>
      <c r="K582" s="4" t="s">
        <v>16</v>
      </c>
      <c r="L582" s="7">
        <f t="shared" si="1"/>
        <v>30</v>
      </c>
      <c r="M582" s="7"/>
    </row>
    <row r="583" ht="22.5" customHeight="1">
      <c r="A583" s="4" t="s">
        <v>1379</v>
      </c>
      <c r="B583" s="5">
        <v>55500.0</v>
      </c>
      <c r="C583" s="4" t="s">
        <v>1079</v>
      </c>
      <c r="D583" s="6">
        <v>-0.57</v>
      </c>
      <c r="E583" s="5">
        <v>2000.0</v>
      </c>
      <c r="F583" s="4" t="s">
        <v>101</v>
      </c>
      <c r="G583" s="4" t="s">
        <v>41</v>
      </c>
      <c r="H583" s="4" t="s">
        <v>1380</v>
      </c>
      <c r="I583" s="7"/>
      <c r="K583" s="4" t="s">
        <v>16</v>
      </c>
      <c r="L583" s="7">
        <f t="shared" si="1"/>
        <v>30</v>
      </c>
      <c r="M583" s="7"/>
    </row>
    <row r="584" ht="22.5" customHeight="1">
      <c r="A584" s="4" t="s">
        <v>1381</v>
      </c>
      <c r="B584" s="5">
        <v>102000.0</v>
      </c>
      <c r="C584" s="4" t="s">
        <v>1352</v>
      </c>
      <c r="D584" s="6">
        <v>-0.57</v>
      </c>
      <c r="E584" s="5">
        <v>4000.0</v>
      </c>
      <c r="F584" s="4" t="s">
        <v>198</v>
      </c>
      <c r="G584" s="4" t="s">
        <v>66</v>
      </c>
      <c r="H584" s="4" t="s">
        <v>1382</v>
      </c>
      <c r="I584" s="7"/>
      <c r="K584" s="4" t="s">
        <v>16</v>
      </c>
      <c r="L584" s="7">
        <f t="shared" si="1"/>
        <v>30</v>
      </c>
      <c r="M584" s="7"/>
    </row>
    <row r="585" ht="22.5" customHeight="1">
      <c r="A585" s="4" t="s">
        <v>1383</v>
      </c>
      <c r="B585" s="5">
        <v>102500.0</v>
      </c>
      <c r="C585" s="4" t="s">
        <v>1352</v>
      </c>
      <c r="D585" s="6">
        <v>-0.57</v>
      </c>
      <c r="E585" s="5">
        <v>638.0</v>
      </c>
      <c r="F585" s="4" t="s">
        <v>198</v>
      </c>
      <c r="G585" s="4" t="s">
        <v>66</v>
      </c>
      <c r="H585" s="4" t="s">
        <v>1384</v>
      </c>
      <c r="I585" s="7"/>
      <c r="K585" s="4" t="s">
        <v>16</v>
      </c>
      <c r="L585" s="7">
        <f t="shared" si="1"/>
        <v>30</v>
      </c>
      <c r="M585" s="7"/>
    </row>
    <row r="586" ht="22.5" customHeight="1">
      <c r="A586" s="4" t="s">
        <v>1385</v>
      </c>
      <c r="B586" s="5">
        <v>296000.0</v>
      </c>
      <c r="C586" s="4" t="s">
        <v>1171</v>
      </c>
      <c r="D586" s="6">
        <v>-0.57</v>
      </c>
      <c r="E586" s="5">
        <v>1000.0</v>
      </c>
      <c r="F586" s="4" t="s">
        <v>198</v>
      </c>
      <c r="G586" s="4" t="s">
        <v>66</v>
      </c>
      <c r="H586" s="4" t="s">
        <v>1386</v>
      </c>
      <c r="I586" s="7"/>
      <c r="K586" s="4" t="s">
        <v>16</v>
      </c>
      <c r="L586" s="7">
        <f t="shared" si="1"/>
        <v>30</v>
      </c>
      <c r="M586" s="7"/>
    </row>
    <row r="587" ht="22.5" customHeight="1">
      <c r="A587" s="4" t="s">
        <v>1387</v>
      </c>
      <c r="B587" s="5">
        <v>280000.0</v>
      </c>
      <c r="C587" s="4" t="s">
        <v>1388</v>
      </c>
      <c r="D587" s="6">
        <v>-0.58</v>
      </c>
      <c r="E587" s="5">
        <v>44.0</v>
      </c>
      <c r="F587" s="4" t="s">
        <v>198</v>
      </c>
      <c r="G587" s="4" t="s">
        <v>66</v>
      </c>
      <c r="H587" s="4" t="s">
        <v>1389</v>
      </c>
      <c r="I587" s="7"/>
      <c r="K587" s="4" t="s">
        <v>16</v>
      </c>
      <c r="L587" s="7">
        <f t="shared" si="1"/>
        <v>30</v>
      </c>
      <c r="M587" s="7"/>
    </row>
    <row r="588" ht="22.5" customHeight="1">
      <c r="A588" s="4" t="s">
        <v>1390</v>
      </c>
      <c r="B588" s="5">
        <v>405000.0</v>
      </c>
      <c r="C588" s="4" t="s">
        <v>1391</v>
      </c>
      <c r="D588" s="6">
        <v>-0.58</v>
      </c>
      <c r="E588" s="5">
        <v>245.0</v>
      </c>
      <c r="F588" s="4" t="s">
        <v>198</v>
      </c>
      <c r="G588" s="4" t="s">
        <v>66</v>
      </c>
      <c r="H588" s="4" t="s">
        <v>1392</v>
      </c>
      <c r="I588" s="7"/>
      <c r="K588" s="4" t="s">
        <v>16</v>
      </c>
      <c r="L588" s="7">
        <f t="shared" si="1"/>
        <v>30</v>
      </c>
      <c r="M588" s="7"/>
    </row>
    <row r="589" ht="22.5" customHeight="1">
      <c r="A589" s="4" t="s">
        <v>1393</v>
      </c>
      <c r="B589" s="5">
        <v>94000.0</v>
      </c>
      <c r="C589" s="4" t="s">
        <v>1394</v>
      </c>
      <c r="D589" s="6">
        <v>-0.58</v>
      </c>
      <c r="E589" s="5">
        <v>593.0</v>
      </c>
      <c r="F589" s="4" t="s">
        <v>324</v>
      </c>
      <c r="G589" s="4" t="s">
        <v>66</v>
      </c>
      <c r="H589" s="4" t="s">
        <v>1395</v>
      </c>
      <c r="I589" s="7"/>
      <c r="K589" s="4" t="s">
        <v>16</v>
      </c>
      <c r="L589" s="7">
        <f t="shared" si="1"/>
        <v>30</v>
      </c>
      <c r="M589" s="7"/>
    </row>
    <row r="590" ht="22.5" customHeight="1">
      <c r="A590" s="4" t="s">
        <v>1396</v>
      </c>
      <c r="B590" s="5">
        <v>63900.0</v>
      </c>
      <c r="C590" s="4" t="s">
        <v>1329</v>
      </c>
      <c r="D590" s="6">
        <v>-0.59</v>
      </c>
      <c r="E590" s="5">
        <v>200.0</v>
      </c>
      <c r="F590" s="4" t="s">
        <v>55</v>
      </c>
      <c r="G590" s="4" t="s">
        <v>41</v>
      </c>
      <c r="H590" s="4" t="s">
        <v>1397</v>
      </c>
      <c r="I590" s="7"/>
      <c r="K590" s="4" t="s">
        <v>16</v>
      </c>
      <c r="L590" s="7">
        <f t="shared" si="1"/>
        <v>30</v>
      </c>
      <c r="M590" s="7"/>
    </row>
    <row r="591" ht="22.5" customHeight="1">
      <c r="A591" s="4" t="s">
        <v>1175</v>
      </c>
      <c r="B591" s="5">
        <v>125000.0</v>
      </c>
      <c r="C591" s="4" t="s">
        <v>1176</v>
      </c>
      <c r="D591" s="6">
        <v>-0.59</v>
      </c>
      <c r="E591" s="5">
        <v>8.0</v>
      </c>
      <c r="F591" s="4" t="s">
        <v>55</v>
      </c>
      <c r="G591" s="4" t="s">
        <v>66</v>
      </c>
      <c r="H591" s="4" t="s">
        <v>1398</v>
      </c>
      <c r="I591" s="7"/>
      <c r="K591" s="4" t="s">
        <v>16</v>
      </c>
      <c r="L591" s="7">
        <f t="shared" si="1"/>
        <v>30</v>
      </c>
      <c r="M591" s="7"/>
    </row>
    <row r="592" ht="22.5" customHeight="1">
      <c r="A592" s="4" t="s">
        <v>1399</v>
      </c>
      <c r="B592" s="5">
        <v>115000.0</v>
      </c>
      <c r="C592" s="4" t="s">
        <v>1400</v>
      </c>
      <c r="D592" s="6">
        <v>-0.59</v>
      </c>
      <c r="E592" s="5">
        <v>109.0</v>
      </c>
      <c r="F592" s="4" t="s">
        <v>79</v>
      </c>
      <c r="G592" s="4" t="s">
        <v>66</v>
      </c>
      <c r="H592" s="4" t="s">
        <v>1401</v>
      </c>
      <c r="I592" s="7"/>
      <c r="K592" s="4" t="s">
        <v>35</v>
      </c>
      <c r="L592" s="7">
        <f t="shared" si="1"/>
        <v>22</v>
      </c>
      <c r="M592" s="7"/>
    </row>
    <row r="593" ht="22.5" customHeight="1">
      <c r="A593" s="4" t="s">
        <v>1402</v>
      </c>
      <c r="B593" s="5">
        <v>94000.0</v>
      </c>
      <c r="C593" s="4" t="s">
        <v>1403</v>
      </c>
      <c r="D593" s="6">
        <v>-0.59</v>
      </c>
      <c r="E593" s="5">
        <v>32.0</v>
      </c>
      <c r="F593" s="4" t="s">
        <v>476</v>
      </c>
      <c r="G593" s="4" t="s">
        <v>66</v>
      </c>
      <c r="H593" s="4" t="s">
        <v>1404</v>
      </c>
      <c r="I593" s="7"/>
      <c r="K593" s="4" t="s">
        <v>35</v>
      </c>
      <c r="L593" s="7">
        <f t="shared" si="1"/>
        <v>22</v>
      </c>
      <c r="M593" s="7"/>
    </row>
    <row r="594" ht="22.5" customHeight="1">
      <c r="A594" s="4" t="s">
        <v>1405</v>
      </c>
      <c r="B594" s="5">
        <v>75000.0</v>
      </c>
      <c r="C594" s="4" t="s">
        <v>975</v>
      </c>
      <c r="D594" s="6">
        <v>-0.59</v>
      </c>
      <c r="E594" s="5">
        <v>4.0</v>
      </c>
      <c r="F594" s="4" t="s">
        <v>569</v>
      </c>
      <c r="G594" s="4" t="s">
        <v>66</v>
      </c>
      <c r="H594" s="4" t="s">
        <v>1406</v>
      </c>
      <c r="I594" s="7"/>
      <c r="K594" s="4" t="s">
        <v>35</v>
      </c>
      <c r="L594" s="7">
        <f t="shared" si="1"/>
        <v>22</v>
      </c>
      <c r="M594" s="7"/>
    </row>
    <row r="595" ht="22.5" customHeight="1">
      <c r="A595" s="4" t="s">
        <v>1407</v>
      </c>
      <c r="B595" s="5">
        <v>119999.0</v>
      </c>
      <c r="C595" s="4" t="s">
        <v>996</v>
      </c>
      <c r="D595" s="6">
        <v>-0.6</v>
      </c>
      <c r="E595" s="5">
        <v>148.0</v>
      </c>
      <c r="F595" s="4" t="s">
        <v>114</v>
      </c>
      <c r="G595" s="4" t="s">
        <v>66</v>
      </c>
      <c r="H595" s="4" t="s">
        <v>1408</v>
      </c>
      <c r="I595" s="7"/>
      <c r="K595" s="4" t="s">
        <v>35</v>
      </c>
      <c r="L595" s="7">
        <f t="shared" si="1"/>
        <v>22</v>
      </c>
      <c r="M595" s="7"/>
    </row>
    <row r="596" ht="22.5" customHeight="1">
      <c r="A596" s="4" t="s">
        <v>1409</v>
      </c>
      <c r="B596" s="5">
        <v>39900.0</v>
      </c>
      <c r="C596" s="4" t="s">
        <v>1185</v>
      </c>
      <c r="D596" s="6">
        <v>-0.6</v>
      </c>
      <c r="E596" s="5">
        <v>238.0</v>
      </c>
      <c r="F596" s="4" t="s">
        <v>198</v>
      </c>
      <c r="G596" s="4" t="s">
        <v>66</v>
      </c>
      <c r="H596" s="4" t="s">
        <v>1410</v>
      </c>
      <c r="I596" s="7"/>
      <c r="K596" s="4" t="s">
        <v>35</v>
      </c>
      <c r="L596" s="7">
        <f t="shared" si="1"/>
        <v>22</v>
      </c>
      <c r="M596" s="7"/>
    </row>
    <row r="597" ht="22.5" customHeight="1">
      <c r="A597" s="4" t="s">
        <v>1411</v>
      </c>
      <c r="B597" s="5">
        <v>101200.0</v>
      </c>
      <c r="C597" s="4" t="s">
        <v>1412</v>
      </c>
      <c r="D597" s="6">
        <v>-0.6</v>
      </c>
      <c r="E597" s="5">
        <v>10000.0</v>
      </c>
      <c r="F597" s="4" t="s">
        <v>324</v>
      </c>
      <c r="G597" s="4" t="s">
        <v>41</v>
      </c>
      <c r="H597" s="4" t="s">
        <v>1413</v>
      </c>
      <c r="I597" s="7"/>
      <c r="K597" s="4" t="s">
        <v>35</v>
      </c>
      <c r="L597" s="7">
        <f t="shared" si="1"/>
        <v>22</v>
      </c>
      <c r="M597" s="7"/>
    </row>
    <row r="598" ht="22.5" customHeight="1">
      <c r="A598" s="4" t="s">
        <v>1414</v>
      </c>
      <c r="B598" s="5">
        <v>142200.0</v>
      </c>
      <c r="C598" s="4" t="s">
        <v>1029</v>
      </c>
      <c r="D598" s="6">
        <v>-0.61</v>
      </c>
      <c r="E598" s="5">
        <v>56.0</v>
      </c>
      <c r="F598" s="4" t="s">
        <v>198</v>
      </c>
      <c r="G598" s="4" t="s">
        <v>66</v>
      </c>
      <c r="H598" s="4" t="s">
        <v>1415</v>
      </c>
      <c r="I598" s="7"/>
      <c r="K598" s="4" t="s">
        <v>35</v>
      </c>
      <c r="L598" s="7">
        <f t="shared" si="1"/>
        <v>22</v>
      </c>
      <c r="M598" s="7"/>
    </row>
    <row r="599" ht="22.5" customHeight="1">
      <c r="A599" s="4" t="s">
        <v>1416</v>
      </c>
      <c r="B599" s="5">
        <v>980000.0</v>
      </c>
      <c r="C599" s="4" t="s">
        <v>1417</v>
      </c>
      <c r="D599" s="6">
        <v>-0.61</v>
      </c>
      <c r="E599" s="5">
        <v>227.0</v>
      </c>
      <c r="F599" s="4" t="s">
        <v>198</v>
      </c>
      <c r="G599" s="4" t="s">
        <v>66</v>
      </c>
      <c r="H599" s="4" t="s">
        <v>1418</v>
      </c>
      <c r="I599" s="7"/>
      <c r="K599" s="4" t="s">
        <v>35</v>
      </c>
      <c r="L599" s="7">
        <f t="shared" si="1"/>
        <v>22</v>
      </c>
      <c r="M599" s="7"/>
    </row>
    <row r="600" ht="22.5" customHeight="1">
      <c r="A600" s="4" t="s">
        <v>1419</v>
      </c>
      <c r="B600" s="5">
        <v>120000.0</v>
      </c>
      <c r="C600" s="4" t="s">
        <v>1420</v>
      </c>
      <c r="D600" s="6">
        <v>-0.61</v>
      </c>
      <c r="E600" s="5">
        <v>21.0</v>
      </c>
      <c r="F600" s="4" t="s">
        <v>324</v>
      </c>
      <c r="G600" s="4" t="s">
        <v>66</v>
      </c>
      <c r="H600" s="4" t="s">
        <v>1421</v>
      </c>
      <c r="I600" s="7"/>
      <c r="K600" s="4" t="s">
        <v>35</v>
      </c>
      <c r="L600" s="7">
        <f t="shared" si="1"/>
        <v>22</v>
      </c>
      <c r="M600" s="7"/>
    </row>
    <row r="601" ht="22.5" customHeight="1">
      <c r="A601" s="4" t="s">
        <v>1422</v>
      </c>
      <c r="B601" s="5">
        <v>93480.0</v>
      </c>
      <c r="C601" s="4" t="s">
        <v>1423</v>
      </c>
      <c r="D601" s="6">
        <v>-0.61</v>
      </c>
      <c r="E601" s="5">
        <v>2.0</v>
      </c>
      <c r="F601" s="4" t="s">
        <v>569</v>
      </c>
      <c r="G601" s="4" t="s">
        <v>66</v>
      </c>
      <c r="H601" s="4" t="s">
        <v>1424</v>
      </c>
      <c r="I601" s="7"/>
      <c r="K601" s="4" t="s">
        <v>35</v>
      </c>
      <c r="L601" s="7">
        <f t="shared" si="1"/>
        <v>22</v>
      </c>
      <c r="M601" s="7"/>
    </row>
    <row r="602" ht="22.5" customHeight="1">
      <c r="A602" s="4" t="s">
        <v>1425</v>
      </c>
      <c r="B602" s="5">
        <v>93000.0</v>
      </c>
      <c r="C602" s="4" t="s">
        <v>975</v>
      </c>
      <c r="D602" s="6">
        <v>-0.62</v>
      </c>
      <c r="E602" s="5">
        <v>140.0</v>
      </c>
      <c r="F602" s="4" t="s">
        <v>114</v>
      </c>
      <c r="G602" s="4" t="s">
        <v>66</v>
      </c>
      <c r="H602" s="4" t="s">
        <v>1426</v>
      </c>
      <c r="I602" s="7"/>
      <c r="K602" s="4" t="s">
        <v>35</v>
      </c>
      <c r="L602" s="7">
        <f t="shared" si="1"/>
        <v>22</v>
      </c>
      <c r="M602" s="7"/>
    </row>
    <row r="603" ht="22.5" customHeight="1">
      <c r="A603" s="4" t="s">
        <v>1427</v>
      </c>
      <c r="B603" s="5">
        <v>43500.0</v>
      </c>
      <c r="C603" s="4" t="s">
        <v>1185</v>
      </c>
      <c r="D603" s="6">
        <v>-0.63</v>
      </c>
      <c r="E603" s="5">
        <v>18.0</v>
      </c>
      <c r="F603" s="4" t="s">
        <v>157</v>
      </c>
      <c r="G603" s="4" t="s">
        <v>66</v>
      </c>
      <c r="H603" s="4" t="s">
        <v>1428</v>
      </c>
      <c r="I603" s="7"/>
      <c r="K603" s="4" t="s">
        <v>35</v>
      </c>
      <c r="L603" s="7">
        <f t="shared" si="1"/>
        <v>22</v>
      </c>
      <c r="M603" s="7"/>
    </row>
    <row r="604" ht="22.5" customHeight="1">
      <c r="A604" s="4" t="s">
        <v>1429</v>
      </c>
      <c r="B604" s="5">
        <v>113030.0</v>
      </c>
      <c r="C604" s="4" t="s">
        <v>1150</v>
      </c>
      <c r="D604" s="6">
        <v>-0.63</v>
      </c>
      <c r="E604" s="5">
        <v>449.0</v>
      </c>
      <c r="F604" s="4" t="s">
        <v>198</v>
      </c>
      <c r="G604" s="4" t="s">
        <v>66</v>
      </c>
      <c r="H604" s="4" t="s">
        <v>1430</v>
      </c>
      <c r="I604" s="7"/>
      <c r="K604" s="4" t="s">
        <v>35</v>
      </c>
      <c r="L604" s="7">
        <f t="shared" si="1"/>
        <v>22</v>
      </c>
      <c r="M604" s="7"/>
    </row>
    <row r="605" ht="22.5" customHeight="1">
      <c r="A605" s="4" t="s">
        <v>1431</v>
      </c>
      <c r="B605" s="5">
        <v>113500.0</v>
      </c>
      <c r="C605" s="4" t="s">
        <v>1150</v>
      </c>
      <c r="D605" s="6">
        <v>-0.63</v>
      </c>
      <c r="E605" s="5">
        <v>404.0</v>
      </c>
      <c r="F605" s="4" t="s">
        <v>198</v>
      </c>
      <c r="G605" s="4" t="s">
        <v>66</v>
      </c>
      <c r="H605" s="4" t="s">
        <v>1432</v>
      </c>
      <c r="I605" s="7"/>
      <c r="K605" s="4" t="s">
        <v>35</v>
      </c>
      <c r="L605" s="7">
        <f t="shared" si="1"/>
        <v>22</v>
      </c>
      <c r="M605" s="7"/>
    </row>
    <row r="606" ht="22.5" customHeight="1">
      <c r="A606" s="4" t="s">
        <v>1433</v>
      </c>
      <c r="B606" s="5">
        <v>120000.0</v>
      </c>
      <c r="C606" s="4" t="s">
        <v>1179</v>
      </c>
      <c r="D606" s="6">
        <v>-0.64</v>
      </c>
      <c r="E606" s="5">
        <v>20.0</v>
      </c>
      <c r="F606" s="4" t="s">
        <v>101</v>
      </c>
      <c r="G606" s="4" t="s">
        <v>66</v>
      </c>
      <c r="H606" s="4" t="s">
        <v>1434</v>
      </c>
      <c r="I606" s="7"/>
      <c r="K606" s="4" t="s">
        <v>35</v>
      </c>
      <c r="L606" s="7">
        <f t="shared" si="1"/>
        <v>22</v>
      </c>
      <c r="M606" s="7"/>
    </row>
    <row r="607" ht="22.5" customHeight="1">
      <c r="A607" s="4" t="s">
        <v>1435</v>
      </c>
      <c r="B607" s="5">
        <v>115000.0</v>
      </c>
      <c r="C607" s="4" t="s">
        <v>1220</v>
      </c>
      <c r="D607" s="6">
        <v>-0.64</v>
      </c>
      <c r="E607" s="5">
        <v>104.0</v>
      </c>
      <c r="F607" s="4" t="s">
        <v>114</v>
      </c>
      <c r="G607" s="4" t="s">
        <v>66</v>
      </c>
      <c r="H607" s="4" t="s">
        <v>1436</v>
      </c>
      <c r="I607" s="7"/>
      <c r="K607" s="4" t="s">
        <v>35</v>
      </c>
      <c r="L607" s="7">
        <f t="shared" si="1"/>
        <v>22</v>
      </c>
      <c r="M607" s="7"/>
    </row>
    <row r="608" ht="22.5" customHeight="1">
      <c r="A608" s="4" t="s">
        <v>1437</v>
      </c>
      <c r="B608" s="5">
        <v>75000.0</v>
      </c>
      <c r="C608" s="4" t="s">
        <v>1438</v>
      </c>
      <c r="D608" s="6">
        <v>-0.66</v>
      </c>
      <c r="E608" s="5">
        <v>278.0</v>
      </c>
      <c r="F608" s="4" t="s">
        <v>198</v>
      </c>
      <c r="G608" s="4" t="s">
        <v>66</v>
      </c>
      <c r="H608" s="4" t="s">
        <v>1439</v>
      </c>
      <c r="I608" s="7"/>
      <c r="K608" s="4" t="s">
        <v>35</v>
      </c>
      <c r="L608" s="7">
        <f t="shared" si="1"/>
        <v>22</v>
      </c>
      <c r="M608" s="7"/>
    </row>
    <row r="609" ht="22.5" customHeight="1">
      <c r="A609" s="4" t="s">
        <v>1440</v>
      </c>
      <c r="B609" s="5">
        <v>128600.0</v>
      </c>
      <c r="C609" s="4" t="s">
        <v>996</v>
      </c>
      <c r="D609" s="6">
        <v>-0.67</v>
      </c>
      <c r="E609" s="5">
        <v>3000.0</v>
      </c>
      <c r="F609" s="4" t="s">
        <v>114</v>
      </c>
      <c r="G609" s="4" t="s">
        <v>66</v>
      </c>
      <c r="H609" s="4" t="s">
        <v>1441</v>
      </c>
      <c r="I609" s="7"/>
      <c r="K609" s="4" t="s">
        <v>35</v>
      </c>
      <c r="L609" s="7">
        <f t="shared" si="1"/>
        <v>22</v>
      </c>
      <c r="M609" s="7"/>
    </row>
    <row r="610" ht="22.5" customHeight="1">
      <c r="A610" s="4" t="s">
        <v>1442</v>
      </c>
      <c r="B610" s="5">
        <v>319000.0</v>
      </c>
      <c r="C610" s="4" t="s">
        <v>1443</v>
      </c>
      <c r="D610" s="6">
        <v>-0.67</v>
      </c>
      <c r="E610" s="5">
        <v>149.0</v>
      </c>
      <c r="F610" s="4" t="s">
        <v>324</v>
      </c>
      <c r="G610" s="4" t="s">
        <v>66</v>
      </c>
      <c r="H610" s="4" t="s">
        <v>1444</v>
      </c>
      <c r="I610" s="7"/>
      <c r="K610" s="4" t="s">
        <v>35</v>
      </c>
      <c r="L610" s="7">
        <f t="shared" si="1"/>
        <v>22</v>
      </c>
      <c r="M610" s="7"/>
    </row>
    <row r="611" ht="22.5" customHeight="1">
      <c r="A611" s="4" t="s">
        <v>1445</v>
      </c>
      <c r="B611" s="5">
        <v>295000.0</v>
      </c>
      <c r="C611" s="4" t="s">
        <v>1286</v>
      </c>
      <c r="D611" s="6">
        <v>-0.67</v>
      </c>
      <c r="E611" s="5">
        <v>24.0</v>
      </c>
      <c r="F611" s="4" t="s">
        <v>569</v>
      </c>
      <c r="G611" s="4" t="s">
        <v>66</v>
      </c>
      <c r="H611" s="4" t="s">
        <v>1446</v>
      </c>
      <c r="I611" s="7"/>
      <c r="K611" s="4" t="s">
        <v>35</v>
      </c>
      <c r="L611" s="7">
        <f t="shared" si="1"/>
        <v>22</v>
      </c>
      <c r="M611" s="7"/>
    </row>
    <row r="612" ht="22.5" customHeight="1">
      <c r="A612" s="4" t="s">
        <v>1447</v>
      </c>
      <c r="B612" s="5">
        <v>82000.0</v>
      </c>
      <c r="C612" s="4" t="s">
        <v>1391</v>
      </c>
      <c r="D612" s="6">
        <v>-0.69</v>
      </c>
      <c r="E612" s="5">
        <v>28.0</v>
      </c>
      <c r="F612" s="4" t="s">
        <v>114</v>
      </c>
      <c r="G612" s="4" t="s">
        <v>66</v>
      </c>
      <c r="H612" s="4" t="s">
        <v>1448</v>
      </c>
      <c r="I612" s="7"/>
      <c r="K612" s="4" t="s">
        <v>35</v>
      </c>
      <c r="L612" s="7">
        <f t="shared" si="1"/>
        <v>22</v>
      </c>
      <c r="M612" s="7"/>
    </row>
    <row r="613" ht="22.5" customHeight="1">
      <c r="A613" s="4" t="s">
        <v>1449</v>
      </c>
      <c r="B613" s="5">
        <v>103000.0</v>
      </c>
      <c r="C613" s="4" t="s">
        <v>1450</v>
      </c>
      <c r="D613" s="6">
        <v>-0.69</v>
      </c>
      <c r="E613" s="5">
        <v>347.0</v>
      </c>
      <c r="F613" s="4" t="s">
        <v>157</v>
      </c>
      <c r="G613" s="4" t="s">
        <v>66</v>
      </c>
      <c r="H613" s="4" t="s">
        <v>1451</v>
      </c>
      <c r="I613" s="7"/>
      <c r="K613" s="4" t="s">
        <v>35</v>
      </c>
      <c r="L613" s="7">
        <f t="shared" si="1"/>
        <v>22</v>
      </c>
      <c r="M613" s="7"/>
    </row>
    <row r="614" ht="22.5" customHeight="1">
      <c r="A614" s="4" t="s">
        <v>1452</v>
      </c>
      <c r="B614" s="5">
        <v>69800.0</v>
      </c>
      <c r="C614" s="4" t="s">
        <v>802</v>
      </c>
      <c r="D614" s="6">
        <v>-0.7</v>
      </c>
      <c r="E614" s="5">
        <v>622.0</v>
      </c>
      <c r="F614" s="4" t="s">
        <v>198</v>
      </c>
      <c r="G614" s="4" t="s">
        <v>66</v>
      </c>
      <c r="H614" s="4" t="s">
        <v>1453</v>
      </c>
      <c r="I614" s="7"/>
      <c r="K614" s="4" t="s">
        <v>161</v>
      </c>
      <c r="L614" s="7">
        <f t="shared" si="1"/>
        <v>1</v>
      </c>
      <c r="M614" s="7"/>
    </row>
    <row r="615" ht="22.5" customHeight="1">
      <c r="A615" s="4" t="s">
        <v>1454</v>
      </c>
      <c r="B615" s="5">
        <v>412000.0</v>
      </c>
      <c r="C615" s="4" t="s">
        <v>1455</v>
      </c>
      <c r="D615" s="6">
        <v>-0.76</v>
      </c>
      <c r="E615" s="5">
        <v>11.0</v>
      </c>
      <c r="F615" s="4" t="s">
        <v>569</v>
      </c>
      <c r="G615" s="4" t="s">
        <v>41</v>
      </c>
      <c r="H615" s="4" t="s">
        <v>1456</v>
      </c>
      <c r="I615" s="7"/>
      <c r="K615" s="4" t="s">
        <v>169</v>
      </c>
      <c r="L615" s="7">
        <f t="shared" si="1"/>
        <v>1</v>
      </c>
      <c r="M615" s="7"/>
    </row>
    <row r="616" ht="22.5" customHeight="1">
      <c r="B616" s="10"/>
      <c r="D616" s="10"/>
      <c r="E616" s="10"/>
      <c r="I616" s="11"/>
      <c r="L616" s="11">
        <f t="shared" si="1"/>
        <v>0</v>
      </c>
      <c r="M616" s="11"/>
    </row>
    <row r="617" ht="22.5" customHeight="1">
      <c r="B617" s="10"/>
      <c r="D617" s="10"/>
      <c r="E617" s="10"/>
      <c r="I617" s="11"/>
      <c r="L617" s="11">
        <f t="shared" si="1"/>
        <v>0</v>
      </c>
      <c r="M617" s="11"/>
    </row>
    <row r="618" ht="22.5" customHeight="1">
      <c r="B618" s="10"/>
      <c r="D618" s="10"/>
      <c r="E618" s="10"/>
      <c r="I618" s="11"/>
      <c r="L618" s="11">
        <f t="shared" si="1"/>
        <v>0</v>
      </c>
      <c r="M618" s="11"/>
    </row>
    <row r="619" ht="22.5" customHeight="1">
      <c r="A619" s="12" t="s">
        <v>1</v>
      </c>
      <c r="B619" s="10"/>
      <c r="C619" s="12" t="s">
        <v>1457</v>
      </c>
      <c r="D619" s="10"/>
      <c r="E619" s="12" t="s">
        <v>5</v>
      </c>
      <c r="F619" s="12" t="s">
        <v>1457</v>
      </c>
      <c r="H619" s="12" t="s">
        <v>3</v>
      </c>
      <c r="I619" s="13" t="s">
        <v>1458</v>
      </c>
      <c r="L619" s="11">
        <f t="shared" si="1"/>
        <v>0</v>
      </c>
      <c r="M619" s="11"/>
    </row>
    <row r="620" ht="22.5" customHeight="1">
      <c r="A620" s="14">
        <v>50000.0</v>
      </c>
      <c r="B620" s="10"/>
      <c r="C620" s="15">
        <f>sum(E2:E40)</f>
        <v>12180</v>
      </c>
      <c r="D620" s="10"/>
      <c r="E620" s="10"/>
      <c r="F620" s="15">
        <f>sum(E2:E9)</f>
        <v>5</v>
      </c>
      <c r="H620" s="12" t="s">
        <v>1459</v>
      </c>
      <c r="I620" s="11">
        <f>sum(E2:E357)</f>
        <v>75739</v>
      </c>
      <c r="L620" s="11">
        <f t="shared" si="1"/>
        <v>0</v>
      </c>
      <c r="M620" s="11"/>
    </row>
    <row r="621" ht="22.5" customHeight="1">
      <c r="A621" s="16">
        <f t="shared" ref="A621:A637" si="2">(A620+50000)</f>
        <v>100000</v>
      </c>
      <c r="B621" s="10"/>
      <c r="C621" s="15">
        <f>sum(E41:E172)</f>
        <v>51544</v>
      </c>
      <c r="D621" s="10"/>
      <c r="E621" s="12" t="s">
        <v>1460</v>
      </c>
      <c r="F621" s="15">
        <f t="shared" ref="F621:F625" si="3">sum(E10)</f>
        <v>6</v>
      </c>
      <c r="H621" s="12" t="s">
        <v>1461</v>
      </c>
      <c r="I621" s="11">
        <f>sum(E358:E540)</f>
        <v>168124</v>
      </c>
      <c r="L621" s="11">
        <f t="shared" si="1"/>
        <v>0</v>
      </c>
      <c r="M621" s="11"/>
    </row>
    <row r="622" ht="22.5" customHeight="1">
      <c r="A622" s="16">
        <f t="shared" si="2"/>
        <v>150000</v>
      </c>
      <c r="B622" s="10"/>
      <c r="C622" s="15">
        <f>sum(E173:E352)</f>
        <v>11564</v>
      </c>
      <c r="D622" s="10"/>
      <c r="E622" s="12" t="s">
        <v>1462</v>
      </c>
      <c r="F622" s="15">
        <f t="shared" si="3"/>
        <v>44</v>
      </c>
      <c r="H622" s="12" t="s">
        <v>1463</v>
      </c>
      <c r="I622" s="11">
        <f>SUM(E541:E615)</f>
        <v>59052</v>
      </c>
      <c r="L622" s="11">
        <f t="shared" si="1"/>
        <v>0</v>
      </c>
      <c r="M622" s="11"/>
    </row>
    <row r="623" ht="22.5" customHeight="1">
      <c r="A623" s="16">
        <f t="shared" si="2"/>
        <v>200000</v>
      </c>
      <c r="B623" s="10"/>
      <c r="C623" s="15">
        <f>sum(E353:E440)</f>
        <v>52232</v>
      </c>
      <c r="D623" s="10"/>
      <c r="E623" s="12" t="s">
        <v>1464</v>
      </c>
      <c r="F623" s="15">
        <f t="shared" si="3"/>
        <v>28</v>
      </c>
      <c r="I623" s="11"/>
      <c r="L623" s="11">
        <f t="shared" si="1"/>
        <v>0</v>
      </c>
      <c r="M623" s="11"/>
    </row>
    <row r="624" ht="22.5" customHeight="1">
      <c r="A624" s="16">
        <f t="shared" si="2"/>
        <v>250000</v>
      </c>
      <c r="B624" s="10"/>
      <c r="C624" s="15">
        <f>sum(E441:E489)</f>
        <v>81019</v>
      </c>
      <c r="D624" s="10"/>
      <c r="E624" s="12" t="s">
        <v>1465</v>
      </c>
      <c r="F624" s="15">
        <f t="shared" si="3"/>
        <v>7</v>
      </c>
      <c r="I624" s="11"/>
      <c r="L624" s="11">
        <f t="shared" si="1"/>
        <v>0</v>
      </c>
      <c r="M624" s="11"/>
    </row>
    <row r="625" ht="22.5" customHeight="1">
      <c r="A625" s="16">
        <f t="shared" si="2"/>
        <v>300000</v>
      </c>
      <c r="B625" s="10"/>
      <c r="C625" s="15">
        <f>sum(E490:E527)</f>
        <v>31347</v>
      </c>
      <c r="D625" s="10"/>
      <c r="E625" s="12" t="s">
        <v>1466</v>
      </c>
      <c r="F625" s="15">
        <f t="shared" si="3"/>
        <v>3</v>
      </c>
      <c r="I625" s="11"/>
      <c r="L625" s="11">
        <f t="shared" si="1"/>
        <v>0</v>
      </c>
      <c r="M625" s="11"/>
    </row>
    <row r="626" ht="22.5" customHeight="1">
      <c r="A626" s="16">
        <f t="shared" si="2"/>
        <v>350000</v>
      </c>
      <c r="B626" s="10"/>
      <c r="C626" s="15">
        <f>sum(E528:E553)</f>
        <v>13981</v>
      </c>
      <c r="D626" s="10"/>
      <c r="E626" s="12" t="s">
        <v>1467</v>
      </c>
      <c r="F626" s="15">
        <f>sum(E15:E18)</f>
        <v>79</v>
      </c>
      <c r="I626" s="11"/>
      <c r="L626" s="11">
        <f t="shared" si="1"/>
        <v>0</v>
      </c>
      <c r="M626" s="11"/>
    </row>
    <row r="627" ht="22.5" customHeight="1">
      <c r="A627" s="16">
        <f t="shared" si="2"/>
        <v>400000</v>
      </c>
      <c r="B627" s="10"/>
      <c r="C627" s="15">
        <f>sum(E554:E572)</f>
        <v>19029</v>
      </c>
      <c r="D627" s="10"/>
      <c r="E627" s="12" t="s">
        <v>1468</v>
      </c>
      <c r="F627" s="15">
        <f>sum(E19)</f>
        <v>18</v>
      </c>
      <c r="I627" s="11"/>
      <c r="L627" s="11">
        <f t="shared" si="1"/>
        <v>0</v>
      </c>
      <c r="M627" s="11"/>
    </row>
    <row r="628" ht="22.5" customHeight="1">
      <c r="A628" s="16">
        <f t="shared" si="2"/>
        <v>450000</v>
      </c>
      <c r="B628" s="10"/>
      <c r="C628" s="15">
        <f>sum(E573:E585)</f>
        <v>11498</v>
      </c>
      <c r="D628" s="10"/>
      <c r="E628" s="12" t="s">
        <v>1469</v>
      </c>
      <c r="F628" s="15">
        <f>sum(E20:E24)</f>
        <v>2144</v>
      </c>
      <c r="I628" s="11"/>
      <c r="L628" s="11">
        <f t="shared" si="1"/>
        <v>0</v>
      </c>
      <c r="M628" s="11"/>
    </row>
    <row r="629" ht="22.5" customHeight="1">
      <c r="A629" s="16">
        <f t="shared" si="2"/>
        <v>500000</v>
      </c>
      <c r="B629" s="10"/>
      <c r="C629" s="15">
        <f>sum(E586:E595)</f>
        <v>2383</v>
      </c>
      <c r="D629" s="10"/>
      <c r="E629" s="12" t="s">
        <v>1470</v>
      </c>
      <c r="F629" s="15">
        <f>sum(E25:E28)</f>
        <v>1397</v>
      </c>
      <c r="I629" s="11"/>
      <c r="L629" s="11">
        <f t="shared" si="1"/>
        <v>0</v>
      </c>
      <c r="M629" s="11"/>
    </row>
    <row r="630" ht="22.5" customHeight="1">
      <c r="A630" s="16">
        <f t="shared" si="2"/>
        <v>550000</v>
      </c>
      <c r="B630" s="10"/>
      <c r="C630" s="15">
        <f>sum(E596:E603)</f>
        <v>10702</v>
      </c>
      <c r="D630" s="10"/>
      <c r="E630" s="12" t="s">
        <v>1471</v>
      </c>
      <c r="F630" s="15">
        <f>sum(E29:E33)</f>
        <v>61</v>
      </c>
      <c r="I630" s="11"/>
      <c r="L630" s="11">
        <f t="shared" si="1"/>
        <v>0</v>
      </c>
      <c r="M630" s="11"/>
    </row>
    <row r="631" ht="22.5" customHeight="1">
      <c r="A631" s="16">
        <f t="shared" si="2"/>
        <v>600000</v>
      </c>
      <c r="B631" s="10"/>
      <c r="C631" s="15">
        <f>sum(E604:E607)</f>
        <v>977</v>
      </c>
      <c r="D631" s="10"/>
      <c r="E631" s="12" t="s">
        <v>1472</v>
      </c>
      <c r="F631" s="15">
        <f>sum(E34:E48)</f>
        <v>8875</v>
      </c>
      <c r="I631" s="11"/>
      <c r="L631" s="11">
        <f t="shared" si="1"/>
        <v>0</v>
      </c>
      <c r="M631" s="11"/>
    </row>
    <row r="632" ht="22.5" customHeight="1">
      <c r="A632" s="16">
        <f t="shared" si="2"/>
        <v>650000</v>
      </c>
      <c r="B632" s="10"/>
      <c r="C632" s="15">
        <f>sum(E608)</f>
        <v>278</v>
      </c>
      <c r="D632" s="10"/>
      <c r="E632" s="12" t="s">
        <v>1473</v>
      </c>
      <c r="F632" s="15">
        <f>sum(E49:E63)</f>
        <v>2069</v>
      </c>
      <c r="I632" s="11"/>
      <c r="L632" s="11">
        <f t="shared" si="1"/>
        <v>0</v>
      </c>
      <c r="M632" s="11"/>
    </row>
    <row r="633" ht="22.5" customHeight="1">
      <c r="A633" s="16">
        <f t="shared" si="2"/>
        <v>700000</v>
      </c>
      <c r="B633" s="10"/>
      <c r="C633" s="15">
        <f>sum(E609:E610)</f>
        <v>3149</v>
      </c>
      <c r="D633" s="10"/>
      <c r="E633" s="12" t="s">
        <v>1474</v>
      </c>
      <c r="F633" s="15">
        <f>sum(E64:E102)</f>
        <v>29771</v>
      </c>
      <c r="I633" s="11"/>
      <c r="L633" s="11">
        <f t="shared" si="1"/>
        <v>0</v>
      </c>
      <c r="M633" s="11"/>
    </row>
    <row r="634" ht="22.5" customHeight="1">
      <c r="A634" s="16">
        <f t="shared" si="2"/>
        <v>750000</v>
      </c>
      <c r="B634" s="10"/>
      <c r="C634" s="15">
        <f t="shared" ref="C634:C638" si="4">sum(E611)</f>
        <v>24</v>
      </c>
      <c r="D634" s="10"/>
      <c r="E634" s="12" t="s">
        <v>1475</v>
      </c>
      <c r="F634" s="15">
        <f>sum(E103:E157)</f>
        <v>17741</v>
      </c>
      <c r="I634" s="11"/>
      <c r="L634" s="11">
        <f t="shared" si="1"/>
        <v>0</v>
      </c>
      <c r="M634" s="11"/>
    </row>
    <row r="635" ht="22.5" customHeight="1">
      <c r="A635" s="16">
        <f t="shared" si="2"/>
        <v>800000</v>
      </c>
      <c r="B635" s="10"/>
      <c r="C635" s="15">
        <f t="shared" si="4"/>
        <v>28</v>
      </c>
      <c r="D635" s="10"/>
      <c r="E635" s="12" t="s">
        <v>1476</v>
      </c>
      <c r="F635" s="15">
        <f>sum(E158:E282)</f>
        <v>12093</v>
      </c>
      <c r="I635" s="11"/>
      <c r="L635" s="11">
        <f t="shared" si="1"/>
        <v>0</v>
      </c>
      <c r="M635" s="11"/>
    </row>
    <row r="636" ht="22.5" customHeight="1">
      <c r="A636" s="16">
        <f t="shared" si="2"/>
        <v>850000</v>
      </c>
      <c r="B636" s="10"/>
      <c r="C636" s="15">
        <f t="shared" si="4"/>
        <v>347</v>
      </c>
      <c r="D636" s="10"/>
      <c r="E636" s="12" t="s">
        <v>1477</v>
      </c>
      <c r="F636" s="15">
        <f>sum(E283:E419)</f>
        <v>49384</v>
      </c>
      <c r="I636" s="11"/>
      <c r="L636" s="11">
        <f t="shared" si="1"/>
        <v>0</v>
      </c>
      <c r="M636" s="11"/>
    </row>
    <row r="637" ht="22.5" customHeight="1">
      <c r="A637" s="16">
        <f t="shared" si="2"/>
        <v>900000</v>
      </c>
      <c r="B637" s="10"/>
      <c r="C637" s="15">
        <f t="shared" si="4"/>
        <v>622</v>
      </c>
      <c r="D637" s="10"/>
      <c r="E637" s="12" t="s">
        <v>1478</v>
      </c>
      <c r="F637" s="15">
        <f>sum(E420:E476)</f>
        <v>47870</v>
      </c>
      <c r="I637" s="11"/>
      <c r="L637" s="11">
        <f t="shared" si="1"/>
        <v>0</v>
      </c>
      <c r="M637" s="11"/>
    </row>
    <row r="638" ht="22.5" customHeight="1">
      <c r="A638" s="14">
        <v>1000000.0</v>
      </c>
      <c r="B638" s="10"/>
      <c r="C638" s="15">
        <f t="shared" si="4"/>
        <v>11</v>
      </c>
      <c r="D638" s="10"/>
      <c r="E638" s="12" t="s">
        <v>1479</v>
      </c>
      <c r="F638" s="15">
        <f>sum(E477:E615)</f>
        <v>131320</v>
      </c>
      <c r="I638" s="11"/>
      <c r="L638" s="11">
        <f t="shared" si="1"/>
        <v>0</v>
      </c>
      <c r="M638" s="11"/>
    </row>
    <row r="639" ht="22.5" customHeight="1">
      <c r="B639" s="10"/>
      <c r="D639" s="10"/>
      <c r="E639" s="10"/>
      <c r="I639" s="11"/>
      <c r="L639" s="11">
        <f t="shared" si="1"/>
        <v>0</v>
      </c>
      <c r="M639" s="11"/>
    </row>
    <row r="640" ht="22.5" customHeight="1">
      <c r="B640" s="10"/>
      <c r="D640" s="10"/>
      <c r="E640" s="10"/>
      <c r="I640" s="11"/>
      <c r="L640" s="11">
        <f t="shared" si="1"/>
        <v>0</v>
      </c>
      <c r="M640" s="11"/>
    </row>
    <row r="641" ht="22.5" customHeight="1">
      <c r="B641" s="10"/>
      <c r="D641" s="10"/>
      <c r="E641" s="10"/>
      <c r="I641" s="11"/>
      <c r="L641" s="11">
        <f t="shared" si="1"/>
        <v>0</v>
      </c>
      <c r="M641" s="11"/>
    </row>
    <row r="642" ht="22.5" customHeight="1">
      <c r="B642" s="10"/>
      <c r="D642" s="10"/>
      <c r="E642" s="10"/>
      <c r="I642" s="11"/>
      <c r="L642" s="11">
        <f t="shared" si="1"/>
        <v>0</v>
      </c>
      <c r="M642" s="11"/>
    </row>
    <row r="643" ht="22.5" customHeight="1">
      <c r="B643" s="10"/>
      <c r="D643" s="10"/>
      <c r="E643" s="10"/>
      <c r="I643" s="11"/>
      <c r="L643" s="11">
        <f t="shared" si="1"/>
        <v>0</v>
      </c>
      <c r="M643" s="11"/>
    </row>
    <row r="644" ht="22.5" customHeight="1">
      <c r="B644" s="10"/>
      <c r="D644" s="10"/>
      <c r="E644" s="10"/>
      <c r="I644" s="11"/>
      <c r="L644" s="11">
        <f t="shared" si="1"/>
        <v>0</v>
      </c>
      <c r="M644" s="11"/>
    </row>
    <row r="645" ht="22.5" customHeight="1">
      <c r="B645" s="10"/>
      <c r="D645" s="10"/>
      <c r="E645" s="10"/>
      <c r="I645" s="11"/>
      <c r="L645" s="11">
        <f t="shared" si="1"/>
        <v>0</v>
      </c>
      <c r="M645" s="11"/>
    </row>
    <row r="646" ht="22.5" customHeight="1">
      <c r="B646" s="10"/>
      <c r="D646" s="10"/>
      <c r="E646" s="10"/>
      <c r="I646" s="11"/>
      <c r="L646" s="11">
        <f t="shared" si="1"/>
        <v>0</v>
      </c>
      <c r="M646" s="11"/>
    </row>
    <row r="647" ht="22.5" customHeight="1">
      <c r="B647" s="10"/>
      <c r="D647" s="10"/>
      <c r="E647" s="10"/>
      <c r="I647" s="11"/>
      <c r="L647" s="11">
        <f t="shared" si="1"/>
        <v>0</v>
      </c>
      <c r="M647" s="11"/>
    </row>
    <row r="648" ht="22.5" customHeight="1">
      <c r="B648" s="10"/>
      <c r="D648" s="10"/>
      <c r="E648" s="10"/>
      <c r="I648" s="11"/>
      <c r="L648" s="11">
        <f t="shared" si="1"/>
        <v>0</v>
      </c>
      <c r="M648" s="11"/>
    </row>
    <row r="649" ht="22.5" customHeight="1">
      <c r="B649" s="10"/>
      <c r="D649" s="10"/>
      <c r="E649" s="10"/>
      <c r="I649" s="11"/>
      <c r="L649" s="11">
        <f t="shared" si="1"/>
        <v>0</v>
      </c>
      <c r="M649" s="11"/>
    </row>
    <row r="650" ht="22.5" customHeight="1">
      <c r="B650" s="10"/>
      <c r="D650" s="10"/>
      <c r="E650" s="10"/>
      <c r="I650" s="11"/>
      <c r="L650" s="11">
        <f t="shared" si="1"/>
        <v>0</v>
      </c>
      <c r="M650" s="11"/>
    </row>
    <row r="651" ht="22.5" customHeight="1">
      <c r="B651" s="10"/>
      <c r="D651" s="10"/>
      <c r="E651" s="10"/>
      <c r="I651" s="11"/>
      <c r="L651" s="11">
        <f t="shared" si="1"/>
        <v>0</v>
      </c>
      <c r="M651" s="11"/>
    </row>
    <row r="652" ht="22.5" customHeight="1">
      <c r="B652" s="10"/>
      <c r="D652" s="10"/>
      <c r="E652" s="10"/>
      <c r="I652" s="11"/>
      <c r="L652" s="11">
        <f t="shared" si="1"/>
        <v>0</v>
      </c>
      <c r="M652" s="11"/>
    </row>
    <row r="653" ht="22.5" customHeight="1">
      <c r="B653" s="10"/>
      <c r="D653" s="10"/>
      <c r="E653" s="10"/>
      <c r="I653" s="11"/>
      <c r="L653" s="11">
        <f t="shared" si="1"/>
        <v>0</v>
      </c>
      <c r="M653" s="11"/>
    </row>
    <row r="654" ht="22.5" customHeight="1">
      <c r="B654" s="10"/>
      <c r="D654" s="10"/>
      <c r="E654" s="10"/>
      <c r="I654" s="11"/>
      <c r="L654" s="11">
        <f t="shared" si="1"/>
        <v>0</v>
      </c>
      <c r="M654" s="11"/>
    </row>
    <row r="655" ht="22.5" customHeight="1">
      <c r="B655" s="10"/>
      <c r="D655" s="10"/>
      <c r="E655" s="10"/>
      <c r="I655" s="11"/>
      <c r="L655" s="11">
        <f t="shared" si="1"/>
        <v>0</v>
      </c>
      <c r="M655" s="11"/>
    </row>
    <row r="656" ht="22.5" customHeight="1">
      <c r="B656" s="10"/>
      <c r="D656" s="10"/>
      <c r="E656" s="10"/>
      <c r="I656" s="11"/>
      <c r="L656" s="11">
        <f t="shared" si="1"/>
        <v>0</v>
      </c>
      <c r="M656" s="11"/>
    </row>
    <row r="657" ht="22.5" customHeight="1">
      <c r="B657" s="10"/>
      <c r="D657" s="10"/>
      <c r="E657" s="10"/>
      <c r="I657" s="11"/>
      <c r="L657" s="11">
        <f t="shared" si="1"/>
        <v>0</v>
      </c>
      <c r="M657" s="11"/>
    </row>
    <row r="658" ht="22.5" customHeight="1">
      <c r="B658" s="10"/>
      <c r="D658" s="10"/>
      <c r="E658" s="10"/>
      <c r="I658" s="11"/>
      <c r="L658" s="11">
        <f t="shared" si="1"/>
        <v>0</v>
      </c>
      <c r="M658" s="11"/>
    </row>
    <row r="659" ht="22.5" customHeight="1">
      <c r="B659" s="10"/>
      <c r="D659" s="10"/>
      <c r="E659" s="10"/>
      <c r="I659" s="11"/>
      <c r="L659" s="11">
        <f t="shared" si="1"/>
        <v>0</v>
      </c>
      <c r="M659" s="11"/>
    </row>
    <row r="660" ht="22.5" customHeight="1">
      <c r="B660" s="10"/>
      <c r="D660" s="10"/>
      <c r="E660" s="10"/>
      <c r="I660" s="11"/>
      <c r="L660" s="11">
        <f t="shared" si="1"/>
        <v>0</v>
      </c>
      <c r="M660" s="11"/>
    </row>
    <row r="661" ht="22.5" customHeight="1">
      <c r="B661" s="10"/>
      <c r="D661" s="10"/>
      <c r="E661" s="10"/>
      <c r="I661" s="11"/>
      <c r="L661" s="11">
        <f t="shared" si="1"/>
        <v>0</v>
      </c>
      <c r="M661" s="11"/>
    </row>
    <row r="662" ht="22.5" customHeight="1">
      <c r="B662" s="10"/>
      <c r="D662" s="10"/>
      <c r="E662" s="10"/>
      <c r="I662" s="11"/>
      <c r="L662" s="11">
        <f t="shared" si="1"/>
        <v>0</v>
      </c>
      <c r="M662" s="11"/>
    </row>
    <row r="663" ht="22.5" customHeight="1">
      <c r="B663" s="10"/>
      <c r="D663" s="10"/>
      <c r="E663" s="10"/>
      <c r="I663" s="11"/>
      <c r="L663" s="11">
        <f t="shared" si="1"/>
        <v>0</v>
      </c>
      <c r="M663" s="11"/>
    </row>
    <row r="664" ht="22.5" customHeight="1">
      <c r="B664" s="10"/>
      <c r="D664" s="10"/>
      <c r="E664" s="10"/>
      <c r="I664" s="11"/>
      <c r="L664" s="11">
        <f t="shared" si="1"/>
        <v>0</v>
      </c>
      <c r="M664" s="11"/>
    </row>
    <row r="665" ht="22.5" customHeight="1">
      <c r="B665" s="10"/>
      <c r="D665" s="10"/>
      <c r="E665" s="10"/>
      <c r="I665" s="11"/>
      <c r="L665" s="11">
        <f t="shared" si="1"/>
        <v>0</v>
      </c>
      <c r="M665" s="11"/>
    </row>
    <row r="666" ht="22.5" customHeight="1">
      <c r="B666" s="10"/>
      <c r="D666" s="10"/>
      <c r="E666" s="10"/>
      <c r="I666" s="11"/>
      <c r="L666" s="11">
        <f t="shared" si="1"/>
        <v>0</v>
      </c>
      <c r="M666" s="11"/>
    </row>
    <row r="667" ht="22.5" customHeight="1">
      <c r="B667" s="10"/>
      <c r="D667" s="10"/>
      <c r="E667" s="10"/>
      <c r="I667" s="11"/>
      <c r="L667" s="11">
        <f t="shared" si="1"/>
        <v>0</v>
      </c>
      <c r="M667" s="11"/>
    </row>
    <row r="668" ht="22.5" customHeight="1">
      <c r="B668" s="10"/>
      <c r="D668" s="10"/>
      <c r="E668" s="10"/>
      <c r="I668" s="11"/>
      <c r="L668" s="11">
        <f t="shared" si="1"/>
        <v>0</v>
      </c>
      <c r="M668" s="11"/>
    </row>
    <row r="669" ht="22.5" customHeight="1">
      <c r="B669" s="10"/>
      <c r="D669" s="10"/>
      <c r="E669" s="10"/>
      <c r="I669" s="11"/>
      <c r="L669" s="11">
        <f t="shared" si="1"/>
        <v>0</v>
      </c>
      <c r="M669" s="11"/>
    </row>
    <row r="670" ht="22.5" customHeight="1">
      <c r="B670" s="10"/>
      <c r="D670" s="10"/>
      <c r="E670" s="10"/>
      <c r="I670" s="11"/>
      <c r="L670" s="11">
        <f t="shared" si="1"/>
        <v>0</v>
      </c>
      <c r="M670" s="11"/>
    </row>
    <row r="671" ht="22.5" customHeight="1">
      <c r="B671" s="10"/>
      <c r="D671" s="10"/>
      <c r="E671" s="10"/>
      <c r="I671" s="11"/>
      <c r="L671" s="11">
        <f t="shared" si="1"/>
        <v>0</v>
      </c>
      <c r="M671" s="11"/>
    </row>
    <row r="672" ht="22.5" customHeight="1">
      <c r="B672" s="10"/>
      <c r="D672" s="10"/>
      <c r="E672" s="10"/>
      <c r="I672" s="11"/>
      <c r="L672" s="11">
        <f t="shared" si="1"/>
        <v>0</v>
      </c>
      <c r="M672" s="11"/>
    </row>
    <row r="673" ht="22.5" customHeight="1">
      <c r="B673" s="10"/>
      <c r="D673" s="10"/>
      <c r="E673" s="10"/>
      <c r="I673" s="11"/>
      <c r="L673" s="11">
        <f t="shared" si="1"/>
        <v>0</v>
      </c>
      <c r="M673" s="11"/>
    </row>
    <row r="674" ht="22.5" customHeight="1">
      <c r="B674" s="10"/>
      <c r="D674" s="10"/>
      <c r="E674" s="10"/>
      <c r="I674" s="11"/>
      <c r="L674" s="11">
        <f t="shared" si="1"/>
        <v>0</v>
      </c>
      <c r="M674" s="11"/>
    </row>
    <row r="675" ht="22.5" customHeight="1">
      <c r="B675" s="10"/>
      <c r="D675" s="10"/>
      <c r="E675" s="10"/>
      <c r="I675" s="11"/>
      <c r="L675" s="11">
        <f t="shared" si="1"/>
        <v>0</v>
      </c>
      <c r="M675" s="11"/>
    </row>
    <row r="676" ht="22.5" customHeight="1">
      <c r="B676" s="10"/>
      <c r="D676" s="10"/>
      <c r="E676" s="10"/>
      <c r="I676" s="11"/>
      <c r="L676" s="11">
        <f t="shared" si="1"/>
        <v>0</v>
      </c>
      <c r="M676" s="11"/>
    </row>
    <row r="677" ht="22.5" customHeight="1">
      <c r="B677" s="10"/>
      <c r="D677" s="10"/>
      <c r="E677" s="10"/>
      <c r="I677" s="11"/>
      <c r="L677" s="11">
        <f t="shared" si="1"/>
        <v>0</v>
      </c>
      <c r="M677" s="11"/>
    </row>
    <row r="678" ht="22.5" customHeight="1">
      <c r="B678" s="10"/>
      <c r="D678" s="10"/>
      <c r="E678" s="10"/>
      <c r="I678" s="11"/>
      <c r="L678" s="11">
        <f t="shared" si="1"/>
        <v>0</v>
      </c>
      <c r="M678" s="11"/>
    </row>
    <row r="679" ht="22.5" customHeight="1">
      <c r="B679" s="10"/>
      <c r="D679" s="10"/>
      <c r="E679" s="10"/>
      <c r="I679" s="11"/>
      <c r="L679" s="11">
        <f t="shared" si="1"/>
        <v>0</v>
      </c>
      <c r="M679" s="11"/>
    </row>
    <row r="680" ht="22.5" customHeight="1">
      <c r="B680" s="10"/>
      <c r="D680" s="10"/>
      <c r="E680" s="10"/>
      <c r="I680" s="11"/>
      <c r="L680" s="11">
        <f t="shared" si="1"/>
        <v>0</v>
      </c>
      <c r="M680" s="11"/>
    </row>
    <row r="681" ht="22.5" customHeight="1">
      <c r="B681" s="10"/>
      <c r="D681" s="10"/>
      <c r="E681" s="10"/>
      <c r="I681" s="11"/>
      <c r="L681" s="11">
        <f t="shared" si="1"/>
        <v>0</v>
      </c>
      <c r="M681" s="11"/>
    </row>
    <row r="682" ht="22.5" customHeight="1">
      <c r="B682" s="10"/>
      <c r="D682" s="10"/>
      <c r="E682" s="10"/>
      <c r="I682" s="11"/>
      <c r="L682" s="11">
        <f t="shared" si="1"/>
        <v>0</v>
      </c>
      <c r="M682" s="11"/>
    </row>
    <row r="683" ht="22.5" customHeight="1">
      <c r="B683" s="10"/>
      <c r="D683" s="10"/>
      <c r="E683" s="10"/>
      <c r="I683" s="11"/>
      <c r="L683" s="11">
        <f t="shared" si="1"/>
        <v>0</v>
      </c>
      <c r="M683" s="11"/>
    </row>
    <row r="684" ht="22.5" customHeight="1">
      <c r="B684" s="10"/>
      <c r="D684" s="10"/>
      <c r="E684" s="10"/>
      <c r="I684" s="11"/>
      <c r="L684" s="11">
        <f t="shared" si="1"/>
        <v>0</v>
      </c>
      <c r="M684" s="11"/>
    </row>
    <row r="685" ht="22.5" customHeight="1">
      <c r="B685" s="10"/>
      <c r="D685" s="10"/>
      <c r="E685" s="10"/>
      <c r="I685" s="11"/>
      <c r="L685" s="11">
        <f t="shared" si="1"/>
        <v>0</v>
      </c>
      <c r="M685" s="11"/>
    </row>
    <row r="686" ht="22.5" customHeight="1">
      <c r="B686" s="10"/>
      <c r="D686" s="10"/>
      <c r="E686" s="10"/>
      <c r="I686" s="11"/>
      <c r="L686" s="11">
        <f t="shared" si="1"/>
        <v>0</v>
      </c>
      <c r="M686" s="11"/>
    </row>
    <row r="687" ht="22.5" customHeight="1">
      <c r="B687" s="10"/>
      <c r="D687" s="10"/>
      <c r="E687" s="10"/>
      <c r="I687" s="11"/>
      <c r="L687" s="11">
        <f t="shared" si="1"/>
        <v>0</v>
      </c>
      <c r="M687" s="11"/>
    </row>
    <row r="688" ht="22.5" customHeight="1">
      <c r="B688" s="10"/>
      <c r="D688" s="10"/>
      <c r="E688" s="10"/>
      <c r="I688" s="11"/>
      <c r="L688" s="11">
        <f t="shared" si="1"/>
        <v>0</v>
      </c>
      <c r="M688" s="11"/>
    </row>
    <row r="689" ht="22.5" customHeight="1">
      <c r="B689" s="10"/>
      <c r="D689" s="10"/>
      <c r="E689" s="10"/>
      <c r="I689" s="11"/>
      <c r="L689" s="11">
        <f t="shared" si="1"/>
        <v>0</v>
      </c>
      <c r="M689" s="11"/>
    </row>
    <row r="690" ht="22.5" customHeight="1">
      <c r="B690" s="10"/>
      <c r="D690" s="10"/>
      <c r="E690" s="10"/>
      <c r="I690" s="11"/>
      <c r="L690" s="11">
        <f t="shared" si="1"/>
        <v>0</v>
      </c>
      <c r="M690" s="11"/>
    </row>
    <row r="691" ht="22.5" customHeight="1">
      <c r="B691" s="10"/>
      <c r="D691" s="10"/>
      <c r="E691" s="10"/>
      <c r="I691" s="11"/>
      <c r="L691" s="11">
        <f t="shared" si="1"/>
        <v>0</v>
      </c>
      <c r="M691" s="11"/>
    </row>
    <row r="692" ht="22.5" customHeight="1">
      <c r="B692" s="10"/>
      <c r="D692" s="10"/>
      <c r="E692" s="10"/>
      <c r="I692" s="11"/>
      <c r="L692" s="11">
        <f t="shared" si="1"/>
        <v>0</v>
      </c>
      <c r="M692" s="11"/>
    </row>
    <row r="693" ht="22.5" customHeight="1">
      <c r="B693" s="10"/>
      <c r="D693" s="10"/>
      <c r="E693" s="10"/>
      <c r="I693" s="11"/>
      <c r="L693" s="11">
        <f t="shared" si="1"/>
        <v>0</v>
      </c>
      <c r="M693" s="11"/>
    </row>
    <row r="694" ht="22.5" customHeight="1">
      <c r="B694" s="10"/>
      <c r="D694" s="10"/>
      <c r="E694" s="10"/>
      <c r="I694" s="11"/>
      <c r="L694" s="11">
        <f t="shared" si="1"/>
        <v>0</v>
      </c>
      <c r="M694" s="11"/>
    </row>
    <row r="695" ht="22.5" customHeight="1">
      <c r="B695" s="10"/>
      <c r="D695" s="10"/>
      <c r="E695" s="10"/>
      <c r="I695" s="11"/>
      <c r="L695" s="11">
        <f t="shared" si="1"/>
        <v>0</v>
      </c>
      <c r="M695" s="11"/>
    </row>
    <row r="696" ht="22.5" customHeight="1">
      <c r="B696" s="10"/>
      <c r="D696" s="10"/>
      <c r="E696" s="10"/>
      <c r="I696" s="11"/>
      <c r="L696" s="11">
        <f t="shared" si="1"/>
        <v>0</v>
      </c>
      <c r="M696" s="11"/>
    </row>
    <row r="697" ht="22.5" customHeight="1">
      <c r="B697" s="10"/>
      <c r="D697" s="10"/>
      <c r="E697" s="10"/>
      <c r="I697" s="11"/>
      <c r="L697" s="11">
        <f t="shared" si="1"/>
        <v>0</v>
      </c>
      <c r="M697" s="11"/>
    </row>
    <row r="698" ht="22.5" customHeight="1">
      <c r="B698" s="10"/>
      <c r="D698" s="10"/>
      <c r="E698" s="10"/>
      <c r="I698" s="11"/>
      <c r="L698" s="11">
        <f t="shared" si="1"/>
        <v>0</v>
      </c>
      <c r="M698" s="11"/>
    </row>
    <row r="699" ht="22.5" customHeight="1">
      <c r="B699" s="10"/>
      <c r="D699" s="10"/>
      <c r="E699" s="10"/>
      <c r="I699" s="11"/>
      <c r="L699" s="11">
        <f t="shared" si="1"/>
        <v>0</v>
      </c>
      <c r="M699" s="11"/>
    </row>
    <row r="700" ht="22.5" customHeight="1">
      <c r="B700" s="10"/>
      <c r="D700" s="10"/>
      <c r="E700" s="10"/>
      <c r="I700" s="11"/>
      <c r="L700" s="11">
        <f t="shared" si="1"/>
        <v>0</v>
      </c>
      <c r="M700" s="11"/>
    </row>
    <row r="701" ht="22.5" customHeight="1">
      <c r="B701" s="10"/>
      <c r="D701" s="10"/>
      <c r="E701" s="10"/>
      <c r="I701" s="11"/>
      <c r="L701" s="11">
        <f t="shared" si="1"/>
        <v>0</v>
      </c>
      <c r="M701" s="11"/>
    </row>
    <row r="702" ht="22.5" customHeight="1">
      <c r="B702" s="10"/>
      <c r="D702" s="10"/>
      <c r="E702" s="10"/>
      <c r="I702" s="11"/>
      <c r="L702" s="11">
        <f t="shared" si="1"/>
        <v>0</v>
      </c>
      <c r="M702" s="11"/>
    </row>
    <row r="703" ht="22.5" customHeight="1">
      <c r="B703" s="10"/>
      <c r="D703" s="10"/>
      <c r="E703" s="10"/>
      <c r="I703" s="11"/>
      <c r="L703" s="11">
        <f t="shared" si="1"/>
        <v>0</v>
      </c>
      <c r="M703" s="11"/>
    </row>
    <row r="704" ht="22.5" customHeight="1">
      <c r="B704" s="10"/>
      <c r="D704" s="10"/>
      <c r="E704" s="10"/>
      <c r="I704" s="11"/>
      <c r="L704" s="11">
        <f t="shared" si="1"/>
        <v>0</v>
      </c>
      <c r="M704" s="11"/>
    </row>
    <row r="705" ht="22.5" customHeight="1">
      <c r="B705" s="10"/>
      <c r="D705" s="10"/>
      <c r="E705" s="10"/>
      <c r="I705" s="11"/>
      <c r="L705" s="11">
        <f t="shared" si="1"/>
        <v>0</v>
      </c>
      <c r="M705" s="11"/>
    </row>
    <row r="706" ht="22.5" customHeight="1">
      <c r="B706" s="10"/>
      <c r="D706" s="10"/>
      <c r="E706" s="10"/>
      <c r="I706" s="11"/>
      <c r="L706" s="11">
        <f t="shared" si="1"/>
        <v>0</v>
      </c>
      <c r="M706" s="11"/>
    </row>
    <row r="707" ht="22.5" customHeight="1">
      <c r="B707" s="10"/>
      <c r="D707" s="10"/>
      <c r="E707" s="10"/>
      <c r="I707" s="11"/>
      <c r="L707" s="11">
        <f t="shared" si="1"/>
        <v>0</v>
      </c>
      <c r="M707" s="11"/>
    </row>
    <row r="708" ht="22.5" customHeight="1">
      <c r="B708" s="10"/>
      <c r="D708" s="10"/>
      <c r="E708" s="10"/>
      <c r="I708" s="11"/>
      <c r="L708" s="11">
        <f t="shared" si="1"/>
        <v>0</v>
      </c>
      <c r="M708" s="11"/>
    </row>
    <row r="709" ht="22.5" customHeight="1">
      <c r="B709" s="10"/>
      <c r="D709" s="10"/>
      <c r="E709" s="10"/>
      <c r="I709" s="11"/>
      <c r="L709" s="11">
        <f t="shared" si="1"/>
        <v>0</v>
      </c>
      <c r="M709" s="11"/>
    </row>
    <row r="710" ht="22.5" customHeight="1">
      <c r="B710" s="10"/>
      <c r="D710" s="10"/>
      <c r="E710" s="10"/>
      <c r="I710" s="11"/>
      <c r="L710" s="11">
        <f t="shared" si="1"/>
        <v>0</v>
      </c>
      <c r="M710" s="11"/>
    </row>
    <row r="711" ht="22.5" customHeight="1">
      <c r="B711" s="10"/>
      <c r="D711" s="10"/>
      <c r="E711" s="10"/>
      <c r="I711" s="11"/>
      <c r="L711" s="11">
        <f t="shared" si="1"/>
        <v>0</v>
      </c>
      <c r="M711" s="11"/>
    </row>
    <row r="712" ht="22.5" customHeight="1">
      <c r="B712" s="10"/>
      <c r="D712" s="10"/>
      <c r="E712" s="10"/>
      <c r="I712" s="11"/>
      <c r="L712" s="11">
        <f t="shared" si="1"/>
        <v>0</v>
      </c>
      <c r="M712" s="11"/>
    </row>
    <row r="713" ht="22.5" customHeight="1">
      <c r="B713" s="10"/>
      <c r="D713" s="10"/>
      <c r="E713" s="10"/>
      <c r="I713" s="11"/>
      <c r="L713" s="11">
        <f t="shared" si="1"/>
        <v>0</v>
      </c>
      <c r="M713" s="11"/>
    </row>
    <row r="714" ht="22.5" customHeight="1">
      <c r="B714" s="10"/>
      <c r="D714" s="10"/>
      <c r="E714" s="10"/>
      <c r="I714" s="11"/>
      <c r="L714" s="11">
        <f t="shared" si="1"/>
        <v>0</v>
      </c>
      <c r="M714" s="11"/>
    </row>
    <row r="715" ht="22.5" customHeight="1">
      <c r="B715" s="10"/>
      <c r="D715" s="10"/>
      <c r="E715" s="10"/>
      <c r="I715" s="11"/>
      <c r="L715" s="11">
        <f t="shared" si="1"/>
        <v>0</v>
      </c>
      <c r="M715" s="11"/>
    </row>
    <row r="716" ht="22.5" customHeight="1">
      <c r="B716" s="10"/>
      <c r="D716" s="10"/>
      <c r="E716" s="10"/>
      <c r="I716" s="11"/>
      <c r="L716" s="11">
        <f t="shared" si="1"/>
        <v>0</v>
      </c>
      <c r="M716" s="11"/>
    </row>
    <row r="717" ht="22.5" customHeight="1">
      <c r="B717" s="10"/>
      <c r="D717" s="10"/>
      <c r="E717" s="10"/>
      <c r="I717" s="11"/>
      <c r="L717" s="11">
        <f t="shared" si="1"/>
        <v>0</v>
      </c>
      <c r="M717" s="11"/>
    </row>
    <row r="718" ht="22.5" customHeight="1">
      <c r="B718" s="10"/>
      <c r="D718" s="10"/>
      <c r="E718" s="10"/>
      <c r="I718" s="11"/>
      <c r="L718" s="11">
        <f t="shared" si="1"/>
        <v>0</v>
      </c>
      <c r="M718" s="11"/>
    </row>
    <row r="719" ht="22.5" customHeight="1">
      <c r="B719" s="10"/>
      <c r="D719" s="10"/>
      <c r="E719" s="10"/>
      <c r="I719" s="11"/>
      <c r="L719" s="11">
        <f t="shared" si="1"/>
        <v>0</v>
      </c>
      <c r="M719" s="11"/>
    </row>
    <row r="720" ht="22.5" customHeight="1">
      <c r="B720" s="10"/>
      <c r="D720" s="10"/>
      <c r="E720" s="10"/>
      <c r="I720" s="11"/>
      <c r="L720" s="11">
        <f t="shared" si="1"/>
        <v>0</v>
      </c>
      <c r="M720" s="11"/>
    </row>
    <row r="721" ht="22.5" customHeight="1">
      <c r="B721" s="10"/>
      <c r="D721" s="10"/>
      <c r="E721" s="10"/>
      <c r="I721" s="11"/>
      <c r="L721" s="11">
        <f t="shared" si="1"/>
        <v>0</v>
      </c>
      <c r="M721" s="11"/>
    </row>
    <row r="722" ht="22.5" customHeight="1">
      <c r="B722" s="10"/>
      <c r="D722" s="10"/>
      <c r="E722" s="10"/>
      <c r="I722" s="11"/>
      <c r="L722" s="11">
        <f t="shared" si="1"/>
        <v>0</v>
      </c>
      <c r="M722" s="11"/>
    </row>
    <row r="723" ht="22.5" customHeight="1">
      <c r="B723" s="10"/>
      <c r="D723" s="10"/>
      <c r="E723" s="10"/>
      <c r="I723" s="11"/>
      <c r="L723" s="11">
        <f t="shared" si="1"/>
        <v>0</v>
      </c>
      <c r="M723" s="11"/>
    </row>
    <row r="724" ht="22.5" customHeight="1">
      <c r="B724" s="10"/>
      <c r="D724" s="10"/>
      <c r="E724" s="10"/>
      <c r="I724" s="11"/>
      <c r="L724" s="11">
        <f t="shared" si="1"/>
        <v>0</v>
      </c>
      <c r="M724" s="11"/>
    </row>
    <row r="725" ht="22.5" customHeight="1">
      <c r="B725" s="10"/>
      <c r="D725" s="10"/>
      <c r="E725" s="10"/>
      <c r="I725" s="11"/>
      <c r="L725" s="11">
        <f t="shared" si="1"/>
        <v>0</v>
      </c>
      <c r="M725" s="11"/>
    </row>
    <row r="726" ht="22.5" customHeight="1">
      <c r="B726" s="10"/>
      <c r="D726" s="10"/>
      <c r="E726" s="10"/>
      <c r="I726" s="11"/>
      <c r="L726" s="11">
        <f t="shared" si="1"/>
        <v>0</v>
      </c>
      <c r="M726" s="11"/>
    </row>
    <row r="727" ht="22.5" customHeight="1">
      <c r="B727" s="10"/>
      <c r="D727" s="10"/>
      <c r="E727" s="10"/>
      <c r="I727" s="11"/>
      <c r="L727" s="11">
        <f t="shared" si="1"/>
        <v>0</v>
      </c>
      <c r="M727" s="11"/>
    </row>
    <row r="728" ht="22.5" customHeight="1">
      <c r="B728" s="10"/>
      <c r="D728" s="10"/>
      <c r="E728" s="10"/>
      <c r="I728" s="11"/>
      <c r="L728" s="11">
        <f t="shared" si="1"/>
        <v>0</v>
      </c>
      <c r="M728" s="11"/>
    </row>
    <row r="729" ht="22.5" customHeight="1">
      <c r="B729" s="10"/>
      <c r="D729" s="10"/>
      <c r="E729" s="10"/>
      <c r="I729" s="11"/>
      <c r="L729" s="11">
        <f t="shared" si="1"/>
        <v>0</v>
      </c>
      <c r="M729" s="11"/>
    </row>
    <row r="730" ht="22.5" customHeight="1">
      <c r="B730" s="10"/>
      <c r="D730" s="10"/>
      <c r="E730" s="10"/>
      <c r="I730" s="11"/>
      <c r="L730" s="11">
        <f t="shared" si="1"/>
        <v>0</v>
      </c>
      <c r="M730" s="11"/>
    </row>
    <row r="731" ht="22.5" customHeight="1">
      <c r="B731" s="10"/>
      <c r="D731" s="10"/>
      <c r="E731" s="10"/>
      <c r="I731" s="11"/>
      <c r="L731" s="11">
        <f t="shared" si="1"/>
        <v>0</v>
      </c>
      <c r="M731" s="11"/>
    </row>
    <row r="732" ht="22.5" customHeight="1">
      <c r="B732" s="10"/>
      <c r="D732" s="10"/>
      <c r="E732" s="10"/>
      <c r="I732" s="11"/>
      <c r="L732" s="11">
        <f t="shared" si="1"/>
        <v>0</v>
      </c>
      <c r="M732" s="11"/>
    </row>
    <row r="733" ht="22.5" customHeight="1">
      <c r="B733" s="10"/>
      <c r="D733" s="10"/>
      <c r="E733" s="10"/>
      <c r="I733" s="11"/>
      <c r="L733" s="11">
        <f t="shared" si="1"/>
        <v>0</v>
      </c>
      <c r="M733" s="11"/>
    </row>
    <row r="734" ht="22.5" customHeight="1">
      <c r="B734" s="10"/>
      <c r="D734" s="10"/>
      <c r="E734" s="10"/>
      <c r="I734" s="11"/>
      <c r="L734" s="11">
        <f t="shared" si="1"/>
        <v>0</v>
      </c>
      <c r="M734" s="11"/>
    </row>
    <row r="735" ht="22.5" customHeight="1">
      <c r="B735" s="10"/>
      <c r="D735" s="10"/>
      <c r="E735" s="10"/>
      <c r="I735" s="11"/>
      <c r="L735" s="11">
        <f t="shared" si="1"/>
        <v>0</v>
      </c>
      <c r="M735" s="11"/>
    </row>
    <row r="736" ht="22.5" customHeight="1">
      <c r="B736" s="10"/>
      <c r="D736" s="10"/>
      <c r="E736" s="10"/>
      <c r="I736" s="11"/>
      <c r="L736" s="11">
        <f t="shared" si="1"/>
        <v>0</v>
      </c>
      <c r="M736" s="11"/>
    </row>
    <row r="737" ht="22.5" customHeight="1">
      <c r="B737" s="10"/>
      <c r="D737" s="10"/>
      <c r="E737" s="10"/>
      <c r="I737" s="11"/>
      <c r="L737" s="11">
        <f t="shared" si="1"/>
        <v>0</v>
      </c>
      <c r="M737" s="11"/>
    </row>
    <row r="738" ht="22.5" customHeight="1">
      <c r="B738" s="10"/>
      <c r="D738" s="10"/>
      <c r="E738" s="10"/>
      <c r="I738" s="11"/>
      <c r="L738" s="11">
        <f t="shared" si="1"/>
        <v>0</v>
      </c>
      <c r="M738" s="11"/>
    </row>
    <row r="739" ht="22.5" customHeight="1">
      <c r="B739" s="10"/>
      <c r="D739" s="10"/>
      <c r="E739" s="10"/>
      <c r="I739" s="11"/>
      <c r="L739" s="11">
        <f t="shared" si="1"/>
        <v>0</v>
      </c>
      <c r="M739" s="11"/>
    </row>
    <row r="740" ht="22.5" customHeight="1">
      <c r="B740" s="10"/>
      <c r="D740" s="10"/>
      <c r="E740" s="10"/>
      <c r="I740" s="11"/>
      <c r="L740" s="11">
        <f t="shared" si="1"/>
        <v>0</v>
      </c>
      <c r="M740" s="11"/>
    </row>
    <row r="741" ht="22.5" customHeight="1">
      <c r="B741" s="10"/>
      <c r="D741" s="10"/>
      <c r="E741" s="10"/>
      <c r="I741" s="11"/>
      <c r="L741" s="11">
        <f t="shared" si="1"/>
        <v>0</v>
      </c>
      <c r="M741" s="11"/>
    </row>
    <row r="742" ht="22.5" customHeight="1">
      <c r="B742" s="10"/>
      <c r="D742" s="10"/>
      <c r="E742" s="10"/>
      <c r="I742" s="11"/>
      <c r="L742" s="11">
        <f t="shared" si="1"/>
        <v>0</v>
      </c>
      <c r="M742" s="11"/>
    </row>
    <row r="743" ht="22.5" customHeight="1">
      <c r="B743" s="10"/>
      <c r="D743" s="10"/>
      <c r="E743" s="10"/>
      <c r="I743" s="11"/>
      <c r="L743" s="11">
        <f t="shared" si="1"/>
        <v>0</v>
      </c>
      <c r="M743" s="11"/>
    </row>
    <row r="744" ht="22.5" customHeight="1">
      <c r="B744" s="10"/>
      <c r="D744" s="10"/>
      <c r="E744" s="10"/>
      <c r="I744" s="11"/>
      <c r="L744" s="11">
        <f t="shared" si="1"/>
        <v>0</v>
      </c>
      <c r="M744" s="11"/>
    </row>
    <row r="745" ht="22.5" customHeight="1">
      <c r="B745" s="10"/>
      <c r="D745" s="10"/>
      <c r="E745" s="10"/>
      <c r="I745" s="11"/>
      <c r="L745" s="11">
        <f t="shared" si="1"/>
        <v>0</v>
      </c>
      <c r="M745" s="11"/>
    </row>
    <row r="746" ht="22.5" customHeight="1">
      <c r="B746" s="10"/>
      <c r="D746" s="10"/>
      <c r="E746" s="10"/>
      <c r="I746" s="11"/>
      <c r="L746" s="11">
        <f t="shared" si="1"/>
        <v>0</v>
      </c>
      <c r="M746" s="11"/>
    </row>
    <row r="747" ht="22.5" customHeight="1">
      <c r="B747" s="10"/>
      <c r="D747" s="10"/>
      <c r="E747" s="10"/>
      <c r="I747" s="11"/>
      <c r="L747" s="11">
        <f t="shared" si="1"/>
        <v>0</v>
      </c>
      <c r="M747" s="11"/>
    </row>
    <row r="748" ht="22.5" customHeight="1">
      <c r="B748" s="10"/>
      <c r="D748" s="10"/>
      <c r="E748" s="10"/>
      <c r="I748" s="11"/>
      <c r="L748" s="11">
        <f t="shared" si="1"/>
        <v>0</v>
      </c>
      <c r="M748" s="11"/>
    </row>
    <row r="749" ht="22.5" customHeight="1">
      <c r="B749" s="10"/>
      <c r="D749" s="10"/>
      <c r="E749" s="10"/>
      <c r="I749" s="11"/>
      <c r="L749" s="11">
        <f t="shared" si="1"/>
        <v>0</v>
      </c>
      <c r="M749" s="11"/>
    </row>
    <row r="750" ht="22.5" customHeight="1">
      <c r="B750" s="10"/>
      <c r="D750" s="10"/>
      <c r="E750" s="10"/>
      <c r="I750" s="11"/>
      <c r="L750" s="11">
        <f t="shared" si="1"/>
        <v>0</v>
      </c>
      <c r="M750" s="11"/>
    </row>
    <row r="751" ht="22.5" customHeight="1">
      <c r="B751" s="10"/>
      <c r="D751" s="10"/>
      <c r="E751" s="10"/>
      <c r="I751" s="11"/>
      <c r="L751" s="11">
        <f t="shared" si="1"/>
        <v>0</v>
      </c>
      <c r="M751" s="11"/>
    </row>
    <row r="752" ht="22.5" customHeight="1">
      <c r="B752" s="10"/>
      <c r="D752" s="10"/>
      <c r="E752" s="10"/>
      <c r="I752" s="11"/>
      <c r="L752" s="11">
        <f t="shared" si="1"/>
        <v>0</v>
      </c>
      <c r="M752" s="11"/>
    </row>
    <row r="753" ht="22.5" customHeight="1">
      <c r="B753" s="10"/>
      <c r="D753" s="10"/>
      <c r="E753" s="10"/>
      <c r="I753" s="11"/>
      <c r="L753" s="11">
        <f t="shared" si="1"/>
        <v>0</v>
      </c>
      <c r="M753" s="11"/>
    </row>
    <row r="754" ht="22.5" customHeight="1">
      <c r="B754" s="10"/>
      <c r="D754" s="10"/>
      <c r="E754" s="10"/>
      <c r="I754" s="11"/>
      <c r="L754" s="11">
        <f t="shared" si="1"/>
        <v>0</v>
      </c>
      <c r="M754" s="11"/>
    </row>
    <row r="755" ht="22.5" customHeight="1">
      <c r="B755" s="10"/>
      <c r="D755" s="10"/>
      <c r="E755" s="10"/>
      <c r="I755" s="11"/>
      <c r="L755" s="11">
        <f t="shared" si="1"/>
        <v>0</v>
      </c>
      <c r="M755" s="11"/>
    </row>
    <row r="756" ht="22.5" customHeight="1">
      <c r="B756" s="10"/>
      <c r="D756" s="10"/>
      <c r="E756" s="10"/>
      <c r="I756" s="11"/>
      <c r="L756" s="11">
        <f t="shared" si="1"/>
        <v>0</v>
      </c>
      <c r="M756" s="11"/>
    </row>
    <row r="757" ht="22.5" customHeight="1">
      <c r="B757" s="10"/>
      <c r="D757" s="10"/>
      <c r="E757" s="10"/>
      <c r="I757" s="11"/>
      <c r="L757" s="11">
        <f t="shared" si="1"/>
        <v>0</v>
      </c>
      <c r="M757" s="11"/>
    </row>
    <row r="758" ht="22.5" customHeight="1">
      <c r="B758" s="10"/>
      <c r="D758" s="10"/>
      <c r="E758" s="10"/>
      <c r="I758" s="11"/>
      <c r="L758" s="11">
        <f t="shared" si="1"/>
        <v>0</v>
      </c>
      <c r="M758" s="11"/>
    </row>
    <row r="759" ht="22.5" customHeight="1">
      <c r="B759" s="10"/>
      <c r="D759" s="10"/>
      <c r="E759" s="10"/>
      <c r="I759" s="11"/>
      <c r="L759" s="11">
        <f t="shared" si="1"/>
        <v>0</v>
      </c>
      <c r="M759" s="11"/>
    </row>
    <row r="760" ht="22.5" customHeight="1">
      <c r="B760" s="10"/>
      <c r="D760" s="10"/>
      <c r="E760" s="10"/>
      <c r="I760" s="11"/>
      <c r="L760" s="11">
        <f t="shared" si="1"/>
        <v>0</v>
      </c>
      <c r="M760" s="11"/>
    </row>
    <row r="761" ht="22.5" customHeight="1">
      <c r="B761" s="10"/>
      <c r="D761" s="10"/>
      <c r="E761" s="10"/>
      <c r="I761" s="11"/>
      <c r="L761" s="11">
        <f t="shared" si="1"/>
        <v>0</v>
      </c>
      <c r="M761" s="11"/>
    </row>
    <row r="762" ht="22.5" customHeight="1">
      <c r="B762" s="10"/>
      <c r="D762" s="10"/>
      <c r="E762" s="10"/>
      <c r="I762" s="11"/>
      <c r="L762" s="11">
        <f t="shared" si="1"/>
        <v>0</v>
      </c>
      <c r="M762" s="11"/>
    </row>
    <row r="763" ht="22.5" customHeight="1">
      <c r="B763" s="10"/>
      <c r="D763" s="10"/>
      <c r="E763" s="10"/>
      <c r="I763" s="11"/>
      <c r="L763" s="11">
        <f t="shared" si="1"/>
        <v>0</v>
      </c>
      <c r="M763" s="11"/>
    </row>
    <row r="764" ht="22.5" customHeight="1">
      <c r="B764" s="10"/>
      <c r="D764" s="10"/>
      <c r="E764" s="10"/>
      <c r="I764" s="11"/>
      <c r="L764" s="11">
        <f t="shared" si="1"/>
        <v>0</v>
      </c>
      <c r="M764" s="11"/>
    </row>
    <row r="765" ht="22.5" customHeight="1">
      <c r="B765" s="10"/>
      <c r="D765" s="10"/>
      <c r="E765" s="10"/>
      <c r="I765" s="11"/>
      <c r="L765" s="11">
        <f t="shared" si="1"/>
        <v>0</v>
      </c>
      <c r="M765" s="11"/>
    </row>
    <row r="766" ht="22.5" customHeight="1">
      <c r="B766" s="10"/>
      <c r="D766" s="10"/>
      <c r="E766" s="10"/>
      <c r="I766" s="11"/>
      <c r="L766" s="11">
        <f t="shared" si="1"/>
        <v>0</v>
      </c>
      <c r="M766" s="11"/>
    </row>
    <row r="767" ht="22.5" customHeight="1">
      <c r="B767" s="10"/>
      <c r="D767" s="10"/>
      <c r="E767" s="10"/>
      <c r="I767" s="11"/>
      <c r="L767" s="11">
        <f t="shared" si="1"/>
        <v>0</v>
      </c>
      <c r="M767" s="11"/>
    </row>
    <row r="768" ht="22.5" customHeight="1">
      <c r="B768" s="10"/>
      <c r="D768" s="10"/>
      <c r="E768" s="10"/>
      <c r="I768" s="11"/>
      <c r="L768" s="11">
        <f t="shared" si="1"/>
        <v>0</v>
      </c>
      <c r="M768" s="11"/>
    </row>
    <row r="769" ht="22.5" customHeight="1">
      <c r="B769" s="10"/>
      <c r="D769" s="10"/>
      <c r="E769" s="10"/>
      <c r="I769" s="11"/>
      <c r="L769" s="11">
        <f t="shared" si="1"/>
        <v>0</v>
      </c>
      <c r="M769" s="11"/>
    </row>
    <row r="770" ht="22.5" customHeight="1">
      <c r="B770" s="10"/>
      <c r="D770" s="10"/>
      <c r="E770" s="10"/>
      <c r="I770" s="11"/>
      <c r="L770" s="11">
        <f t="shared" si="1"/>
        <v>0</v>
      </c>
      <c r="M770" s="11"/>
    </row>
    <row r="771" ht="22.5" customHeight="1">
      <c r="B771" s="10"/>
      <c r="D771" s="10"/>
      <c r="E771" s="10"/>
      <c r="I771" s="11"/>
      <c r="L771" s="11">
        <f t="shared" si="1"/>
        <v>0</v>
      </c>
      <c r="M771" s="11"/>
    </row>
    <row r="772" ht="22.5" customHeight="1">
      <c r="B772" s="10"/>
      <c r="D772" s="10"/>
      <c r="E772" s="10"/>
      <c r="I772" s="11"/>
      <c r="L772" s="11">
        <f t="shared" si="1"/>
        <v>0</v>
      </c>
      <c r="M772" s="11"/>
    </row>
    <row r="773" ht="22.5" customHeight="1">
      <c r="B773" s="10"/>
      <c r="D773" s="10"/>
      <c r="E773" s="10"/>
      <c r="I773" s="11"/>
      <c r="L773" s="11">
        <f t="shared" si="1"/>
        <v>0</v>
      </c>
      <c r="M773" s="11"/>
    </row>
    <row r="774" ht="22.5" customHeight="1">
      <c r="B774" s="10"/>
      <c r="D774" s="10"/>
      <c r="E774" s="10"/>
      <c r="I774" s="11"/>
      <c r="L774" s="11">
        <f t="shared" si="1"/>
        <v>0</v>
      </c>
      <c r="M774" s="11"/>
    </row>
    <row r="775" ht="22.5" customHeight="1">
      <c r="B775" s="10"/>
      <c r="D775" s="10"/>
      <c r="E775" s="10"/>
      <c r="I775" s="11"/>
      <c r="L775" s="11">
        <f t="shared" si="1"/>
        <v>0</v>
      </c>
      <c r="M775" s="11"/>
    </row>
    <row r="776" ht="22.5" customHeight="1">
      <c r="B776" s="10"/>
      <c r="D776" s="10"/>
      <c r="E776" s="10"/>
      <c r="I776" s="11"/>
      <c r="L776" s="11">
        <f t="shared" si="1"/>
        <v>0</v>
      </c>
      <c r="M776" s="11"/>
    </row>
    <row r="777" ht="22.5" customHeight="1">
      <c r="B777" s="10"/>
      <c r="D777" s="10"/>
      <c r="E777" s="10"/>
      <c r="I777" s="11"/>
      <c r="L777" s="11">
        <f t="shared" si="1"/>
        <v>0</v>
      </c>
      <c r="M777" s="11"/>
    </row>
    <row r="778" ht="22.5" customHeight="1">
      <c r="B778" s="10"/>
      <c r="D778" s="10"/>
      <c r="E778" s="10"/>
      <c r="I778" s="11"/>
      <c r="L778" s="11">
        <f t="shared" si="1"/>
        <v>0</v>
      </c>
      <c r="M778" s="11"/>
    </row>
    <row r="779" ht="22.5" customHeight="1">
      <c r="B779" s="10"/>
      <c r="D779" s="10"/>
      <c r="E779" s="10"/>
      <c r="I779" s="11"/>
      <c r="L779" s="11">
        <f t="shared" si="1"/>
        <v>0</v>
      </c>
      <c r="M779" s="11"/>
    </row>
    <row r="780" ht="22.5" customHeight="1">
      <c r="B780" s="10"/>
      <c r="D780" s="10"/>
      <c r="E780" s="10"/>
      <c r="I780" s="11"/>
      <c r="L780" s="11">
        <f t="shared" si="1"/>
        <v>0</v>
      </c>
      <c r="M780" s="11"/>
    </row>
    <row r="781" ht="22.5" customHeight="1">
      <c r="B781" s="10"/>
      <c r="D781" s="10"/>
      <c r="E781" s="10"/>
      <c r="I781" s="11"/>
      <c r="L781" s="11">
        <f t="shared" si="1"/>
        <v>0</v>
      </c>
      <c r="M781" s="11"/>
    </row>
    <row r="782" ht="22.5" customHeight="1">
      <c r="B782" s="10"/>
      <c r="D782" s="10"/>
      <c r="E782" s="10"/>
      <c r="I782" s="11"/>
      <c r="L782" s="11">
        <f t="shared" si="1"/>
        <v>0</v>
      </c>
      <c r="M782" s="11"/>
    </row>
    <row r="783" ht="22.5" customHeight="1">
      <c r="B783" s="10"/>
      <c r="D783" s="10"/>
      <c r="E783" s="10"/>
      <c r="I783" s="11"/>
      <c r="L783" s="11">
        <f t="shared" si="1"/>
        <v>0</v>
      </c>
      <c r="M783" s="11"/>
    </row>
    <row r="784" ht="22.5" customHeight="1">
      <c r="B784" s="10"/>
      <c r="D784" s="10"/>
      <c r="E784" s="10"/>
      <c r="I784" s="11"/>
      <c r="L784" s="11">
        <f t="shared" si="1"/>
        <v>0</v>
      </c>
      <c r="M784" s="11"/>
    </row>
    <row r="785" ht="22.5" customHeight="1">
      <c r="B785" s="10"/>
      <c r="D785" s="10"/>
      <c r="E785" s="10"/>
      <c r="I785" s="11"/>
      <c r="L785" s="11">
        <f t="shared" si="1"/>
        <v>0</v>
      </c>
      <c r="M785" s="11"/>
    </row>
    <row r="786" ht="22.5" customHeight="1">
      <c r="B786" s="10"/>
      <c r="D786" s="10"/>
      <c r="E786" s="10"/>
      <c r="I786" s="11"/>
      <c r="L786" s="11">
        <f t="shared" si="1"/>
        <v>0</v>
      </c>
      <c r="M786" s="11"/>
    </row>
    <row r="787" ht="22.5" customHeight="1">
      <c r="B787" s="10"/>
      <c r="D787" s="10"/>
      <c r="E787" s="10"/>
      <c r="I787" s="11"/>
      <c r="L787" s="11">
        <f t="shared" si="1"/>
        <v>0</v>
      </c>
      <c r="M787" s="11"/>
    </row>
    <row r="788" ht="22.5" customHeight="1">
      <c r="B788" s="10"/>
      <c r="D788" s="10"/>
      <c r="E788" s="10"/>
      <c r="I788" s="11"/>
      <c r="L788" s="11">
        <f t="shared" si="1"/>
        <v>0</v>
      </c>
      <c r="M788" s="11"/>
    </row>
    <row r="789" ht="22.5" customHeight="1">
      <c r="B789" s="10"/>
      <c r="D789" s="10"/>
      <c r="E789" s="10"/>
      <c r="I789" s="11"/>
      <c r="L789" s="11">
        <f t="shared" si="1"/>
        <v>0</v>
      </c>
      <c r="M789" s="11"/>
    </row>
    <row r="790" ht="22.5" customHeight="1">
      <c r="B790" s="10"/>
      <c r="D790" s="10"/>
      <c r="E790" s="10"/>
      <c r="I790" s="11"/>
      <c r="L790" s="11">
        <f t="shared" si="1"/>
        <v>0</v>
      </c>
      <c r="M790" s="11"/>
    </row>
    <row r="791" ht="22.5" customHeight="1">
      <c r="B791" s="10"/>
      <c r="D791" s="10"/>
      <c r="E791" s="10"/>
      <c r="I791" s="11"/>
      <c r="L791" s="11">
        <f t="shared" si="1"/>
        <v>0</v>
      </c>
      <c r="M791" s="11"/>
    </row>
    <row r="792" ht="22.5" customHeight="1">
      <c r="B792" s="10"/>
      <c r="D792" s="10"/>
      <c r="E792" s="10"/>
      <c r="I792" s="11"/>
      <c r="L792" s="11">
        <f t="shared" si="1"/>
        <v>0</v>
      </c>
      <c r="M792" s="11"/>
    </row>
    <row r="793" ht="22.5" customHeight="1">
      <c r="B793" s="10"/>
      <c r="D793" s="10"/>
      <c r="E793" s="10"/>
      <c r="I793" s="11"/>
      <c r="L793" s="11">
        <f t="shared" si="1"/>
        <v>0</v>
      </c>
      <c r="M793" s="11"/>
    </row>
    <row r="794" ht="22.5" customHeight="1">
      <c r="B794" s="10"/>
      <c r="D794" s="10"/>
      <c r="E794" s="10"/>
      <c r="I794" s="11"/>
      <c r="L794" s="11">
        <f t="shared" si="1"/>
        <v>0</v>
      </c>
      <c r="M794" s="11"/>
    </row>
    <row r="795" ht="22.5" customHeight="1">
      <c r="B795" s="10"/>
      <c r="D795" s="10"/>
      <c r="E795" s="10"/>
      <c r="I795" s="11"/>
      <c r="L795" s="11">
        <f t="shared" si="1"/>
        <v>0</v>
      </c>
      <c r="M795" s="11"/>
    </row>
    <row r="796" ht="22.5" customHeight="1">
      <c r="B796" s="10"/>
      <c r="D796" s="10"/>
      <c r="E796" s="10"/>
      <c r="I796" s="11"/>
      <c r="L796" s="11">
        <f t="shared" si="1"/>
        <v>0</v>
      </c>
      <c r="M796" s="11"/>
    </row>
    <row r="797" ht="22.5" customHeight="1">
      <c r="B797" s="10"/>
      <c r="D797" s="10"/>
      <c r="E797" s="10"/>
      <c r="I797" s="11"/>
      <c r="L797" s="11">
        <f t="shared" si="1"/>
        <v>0</v>
      </c>
      <c r="M797" s="11"/>
    </row>
    <row r="798" ht="22.5" customHeight="1">
      <c r="B798" s="10"/>
      <c r="D798" s="10"/>
      <c r="E798" s="10"/>
      <c r="I798" s="11"/>
      <c r="L798" s="11">
        <f t="shared" si="1"/>
        <v>0</v>
      </c>
      <c r="M798" s="11"/>
    </row>
    <row r="799" ht="22.5" customHeight="1">
      <c r="B799" s="10"/>
      <c r="D799" s="10"/>
      <c r="E799" s="10"/>
      <c r="I799" s="11"/>
      <c r="L799" s="11">
        <f t="shared" si="1"/>
        <v>0</v>
      </c>
      <c r="M799" s="11"/>
    </row>
    <row r="800" ht="22.5" customHeight="1">
      <c r="B800" s="10"/>
      <c r="D800" s="10"/>
      <c r="E800" s="10"/>
      <c r="I800" s="11"/>
      <c r="L800" s="11">
        <f t="shared" si="1"/>
        <v>0</v>
      </c>
      <c r="M800" s="11"/>
    </row>
    <row r="801" ht="22.5" customHeight="1">
      <c r="B801" s="10"/>
      <c r="D801" s="10"/>
      <c r="E801" s="10"/>
      <c r="I801" s="11"/>
      <c r="L801" s="11">
        <f t="shared" si="1"/>
        <v>0</v>
      </c>
      <c r="M801" s="11"/>
    </row>
    <row r="802" ht="22.5" customHeight="1">
      <c r="B802" s="10"/>
      <c r="D802" s="10"/>
      <c r="E802" s="10"/>
      <c r="I802" s="11"/>
      <c r="L802" s="11">
        <f t="shared" si="1"/>
        <v>0</v>
      </c>
      <c r="M802" s="11"/>
    </row>
    <row r="803" ht="22.5" customHeight="1">
      <c r="B803" s="10"/>
      <c r="D803" s="10"/>
      <c r="E803" s="10"/>
      <c r="I803" s="11"/>
      <c r="L803" s="11">
        <f t="shared" si="1"/>
        <v>0</v>
      </c>
      <c r="M803" s="11"/>
    </row>
    <row r="804" ht="22.5" customHeight="1">
      <c r="B804" s="10"/>
      <c r="D804" s="10"/>
      <c r="E804" s="10"/>
      <c r="I804" s="11"/>
      <c r="L804" s="11">
        <f t="shared" si="1"/>
        <v>0</v>
      </c>
      <c r="M804" s="11"/>
    </row>
    <row r="805" ht="22.5" customHeight="1">
      <c r="B805" s="10"/>
      <c r="D805" s="10"/>
      <c r="E805" s="10"/>
      <c r="I805" s="11"/>
      <c r="L805" s="11">
        <f t="shared" si="1"/>
        <v>0</v>
      </c>
      <c r="M805" s="11"/>
    </row>
    <row r="806" ht="22.5" customHeight="1">
      <c r="B806" s="10"/>
      <c r="D806" s="10"/>
      <c r="E806" s="10"/>
      <c r="I806" s="11"/>
      <c r="L806" s="11">
        <f t="shared" si="1"/>
        <v>0</v>
      </c>
      <c r="M806" s="11"/>
    </row>
    <row r="807" ht="22.5" customHeight="1">
      <c r="B807" s="10"/>
      <c r="D807" s="10"/>
      <c r="E807" s="10"/>
      <c r="I807" s="11"/>
      <c r="L807" s="11">
        <f t="shared" si="1"/>
        <v>0</v>
      </c>
      <c r="M807" s="11"/>
    </row>
    <row r="808" ht="22.5" customHeight="1">
      <c r="B808" s="10"/>
      <c r="D808" s="10"/>
      <c r="E808" s="10"/>
      <c r="I808" s="11"/>
      <c r="L808" s="11">
        <f t="shared" si="1"/>
        <v>0</v>
      </c>
      <c r="M808" s="11"/>
    </row>
    <row r="809" ht="22.5" customHeight="1">
      <c r="B809" s="10"/>
      <c r="D809" s="10"/>
      <c r="E809" s="10"/>
      <c r="I809" s="11"/>
      <c r="L809" s="11">
        <f t="shared" si="1"/>
        <v>0</v>
      </c>
      <c r="M809" s="11"/>
    </row>
    <row r="810" ht="22.5" customHeight="1">
      <c r="B810" s="10"/>
      <c r="D810" s="10"/>
      <c r="E810" s="10"/>
      <c r="I810" s="11"/>
      <c r="L810" s="11">
        <f t="shared" si="1"/>
        <v>0</v>
      </c>
      <c r="M810" s="11"/>
    </row>
    <row r="811" ht="22.5" customHeight="1">
      <c r="B811" s="10"/>
      <c r="D811" s="10"/>
      <c r="E811" s="10"/>
      <c r="I811" s="11"/>
      <c r="L811" s="11">
        <f t="shared" si="1"/>
        <v>0</v>
      </c>
      <c r="M811" s="11"/>
    </row>
    <row r="812" ht="22.5" customHeight="1">
      <c r="B812" s="10"/>
      <c r="D812" s="10"/>
      <c r="E812" s="10"/>
      <c r="I812" s="11"/>
      <c r="L812" s="11">
        <f t="shared" si="1"/>
        <v>0</v>
      </c>
      <c r="M812" s="11"/>
    </row>
    <row r="813" ht="22.5" customHeight="1">
      <c r="B813" s="10"/>
      <c r="D813" s="10"/>
      <c r="E813" s="10"/>
      <c r="I813" s="11"/>
      <c r="L813" s="11">
        <f t="shared" si="1"/>
        <v>0</v>
      </c>
      <c r="M813" s="11"/>
    </row>
    <row r="814" ht="22.5" customHeight="1">
      <c r="B814" s="10"/>
      <c r="D814" s="10"/>
      <c r="E814" s="10"/>
      <c r="I814" s="11"/>
      <c r="L814" s="11">
        <f t="shared" si="1"/>
        <v>0</v>
      </c>
      <c r="M814" s="11"/>
    </row>
    <row r="815" ht="22.5" customHeight="1">
      <c r="B815" s="10"/>
      <c r="D815" s="10"/>
      <c r="E815" s="10"/>
      <c r="I815" s="11"/>
      <c r="L815" s="11">
        <f t="shared" si="1"/>
        <v>0</v>
      </c>
      <c r="M815" s="11"/>
    </row>
    <row r="816" ht="22.5" customHeight="1">
      <c r="B816" s="10"/>
      <c r="D816" s="10"/>
      <c r="E816" s="10"/>
      <c r="I816" s="11"/>
      <c r="L816" s="11">
        <f t="shared" si="1"/>
        <v>0</v>
      </c>
      <c r="M816" s="11"/>
    </row>
    <row r="817" ht="22.5" customHeight="1">
      <c r="B817" s="10"/>
      <c r="D817" s="10"/>
      <c r="E817" s="10"/>
      <c r="I817" s="11"/>
      <c r="L817" s="11">
        <f t="shared" si="1"/>
        <v>0</v>
      </c>
      <c r="M817" s="11"/>
    </row>
    <row r="818" ht="22.5" customHeight="1">
      <c r="B818" s="10"/>
      <c r="D818" s="10"/>
      <c r="E818" s="10"/>
      <c r="I818" s="11"/>
      <c r="L818" s="11">
        <f t="shared" si="1"/>
        <v>0</v>
      </c>
      <c r="M818" s="11"/>
    </row>
    <row r="819" ht="22.5" customHeight="1">
      <c r="B819" s="10"/>
      <c r="D819" s="10"/>
      <c r="E819" s="10"/>
      <c r="I819" s="11"/>
      <c r="L819" s="11">
        <f t="shared" si="1"/>
        <v>0</v>
      </c>
      <c r="M819" s="11"/>
    </row>
    <row r="820" ht="22.5" customHeight="1">
      <c r="B820" s="10"/>
      <c r="D820" s="10"/>
      <c r="E820" s="10"/>
      <c r="I820" s="11"/>
      <c r="L820" s="11">
        <f t="shared" si="1"/>
        <v>0</v>
      </c>
      <c r="M820" s="11"/>
    </row>
    <row r="821" ht="22.5" customHeight="1">
      <c r="B821" s="10"/>
      <c r="D821" s="10"/>
      <c r="E821" s="10"/>
      <c r="I821" s="11"/>
      <c r="L821" s="11">
        <f t="shared" si="1"/>
        <v>0</v>
      </c>
      <c r="M821" s="11"/>
    </row>
    <row r="822" ht="22.5" customHeight="1">
      <c r="B822" s="10"/>
      <c r="D822" s="10"/>
      <c r="E822" s="10"/>
      <c r="I822" s="11"/>
      <c r="L822" s="11">
        <f t="shared" si="1"/>
        <v>0</v>
      </c>
      <c r="M822" s="11"/>
    </row>
    <row r="823" ht="22.5" customHeight="1">
      <c r="B823" s="10"/>
      <c r="D823" s="10"/>
      <c r="E823" s="10"/>
      <c r="I823" s="11"/>
      <c r="L823" s="11">
        <f t="shared" si="1"/>
        <v>0</v>
      </c>
      <c r="M823" s="11"/>
    </row>
    <row r="824" ht="22.5" customHeight="1">
      <c r="B824" s="10"/>
      <c r="D824" s="10"/>
      <c r="E824" s="10"/>
      <c r="I824" s="11"/>
      <c r="L824" s="11">
        <f t="shared" si="1"/>
        <v>0</v>
      </c>
      <c r="M824" s="11"/>
    </row>
    <row r="825" ht="22.5" customHeight="1">
      <c r="B825" s="10"/>
      <c r="D825" s="10"/>
      <c r="E825" s="10"/>
      <c r="I825" s="11"/>
      <c r="L825" s="11">
        <f t="shared" si="1"/>
        <v>0</v>
      </c>
      <c r="M825" s="11"/>
    </row>
    <row r="826" ht="22.5" customHeight="1">
      <c r="B826" s="10"/>
      <c r="D826" s="10"/>
      <c r="E826" s="10"/>
      <c r="I826" s="11"/>
      <c r="L826" s="11">
        <f t="shared" si="1"/>
        <v>0</v>
      </c>
      <c r="M826" s="11"/>
    </row>
    <row r="827" ht="22.5" customHeight="1">
      <c r="B827" s="10"/>
      <c r="D827" s="10"/>
      <c r="E827" s="10"/>
      <c r="I827" s="11"/>
      <c r="L827" s="11">
        <f t="shared" si="1"/>
        <v>0</v>
      </c>
      <c r="M827" s="11"/>
    </row>
    <row r="828" ht="22.5" customHeight="1">
      <c r="B828" s="10"/>
      <c r="D828" s="10"/>
      <c r="E828" s="10"/>
      <c r="I828" s="11"/>
      <c r="L828" s="11">
        <f t="shared" si="1"/>
        <v>0</v>
      </c>
      <c r="M828" s="11"/>
    </row>
    <row r="829" ht="22.5" customHeight="1">
      <c r="B829" s="10"/>
      <c r="D829" s="10"/>
      <c r="E829" s="10"/>
      <c r="I829" s="11"/>
      <c r="L829" s="11">
        <f t="shared" si="1"/>
        <v>0</v>
      </c>
      <c r="M829" s="11"/>
    </row>
    <row r="830" ht="22.5" customHeight="1">
      <c r="B830" s="10"/>
      <c r="D830" s="10"/>
      <c r="E830" s="10"/>
      <c r="I830" s="11"/>
      <c r="L830" s="11">
        <f t="shared" si="1"/>
        <v>0</v>
      </c>
      <c r="M830" s="11"/>
    </row>
    <row r="831" ht="22.5" customHeight="1">
      <c r="B831" s="10"/>
      <c r="D831" s="10"/>
      <c r="E831" s="10"/>
      <c r="I831" s="11"/>
      <c r="L831" s="11">
        <f t="shared" si="1"/>
        <v>0</v>
      </c>
      <c r="M831" s="11"/>
    </row>
    <row r="832" ht="22.5" customHeight="1">
      <c r="B832" s="10"/>
      <c r="D832" s="10"/>
      <c r="E832" s="10"/>
      <c r="I832" s="11"/>
      <c r="L832" s="11">
        <f t="shared" si="1"/>
        <v>0</v>
      </c>
      <c r="M832" s="11"/>
    </row>
    <row r="833" ht="22.5" customHeight="1">
      <c r="B833" s="10"/>
      <c r="D833" s="10"/>
      <c r="E833" s="10"/>
      <c r="I833" s="11"/>
      <c r="L833" s="11">
        <f t="shared" si="1"/>
        <v>0</v>
      </c>
      <c r="M833" s="11"/>
    </row>
    <row r="834" ht="22.5" customHeight="1">
      <c r="B834" s="10"/>
      <c r="D834" s="10"/>
      <c r="E834" s="10"/>
      <c r="I834" s="11"/>
      <c r="L834" s="11">
        <f t="shared" si="1"/>
        <v>0</v>
      </c>
      <c r="M834" s="11"/>
    </row>
    <row r="835" ht="22.5" customHeight="1">
      <c r="B835" s="10"/>
      <c r="D835" s="10"/>
      <c r="E835" s="10"/>
      <c r="I835" s="11"/>
      <c r="L835" s="11">
        <f t="shared" si="1"/>
        <v>0</v>
      </c>
      <c r="M835" s="11"/>
    </row>
    <row r="836" ht="22.5" customHeight="1">
      <c r="B836" s="10"/>
      <c r="D836" s="10"/>
      <c r="E836" s="10"/>
      <c r="I836" s="11"/>
      <c r="L836" s="11">
        <f t="shared" si="1"/>
        <v>0</v>
      </c>
      <c r="M836" s="11"/>
    </row>
    <row r="837" ht="22.5" customHeight="1">
      <c r="B837" s="10"/>
      <c r="D837" s="10"/>
      <c r="E837" s="10"/>
      <c r="I837" s="11"/>
      <c r="L837" s="11">
        <f t="shared" si="1"/>
        <v>0</v>
      </c>
      <c r="M837" s="11"/>
    </row>
    <row r="838" ht="22.5" customHeight="1">
      <c r="B838" s="10"/>
      <c r="D838" s="10"/>
      <c r="E838" s="10"/>
      <c r="I838" s="11"/>
      <c r="L838" s="11">
        <f t="shared" si="1"/>
        <v>0</v>
      </c>
      <c r="M838" s="11"/>
    </row>
    <row r="839" ht="22.5" customHeight="1">
      <c r="B839" s="10"/>
      <c r="D839" s="10"/>
      <c r="E839" s="10"/>
      <c r="I839" s="11"/>
      <c r="L839" s="11">
        <f t="shared" si="1"/>
        <v>0</v>
      </c>
      <c r="M839" s="11"/>
    </row>
    <row r="840" ht="22.5" customHeight="1">
      <c r="B840" s="10"/>
      <c r="D840" s="10"/>
      <c r="E840" s="10"/>
      <c r="I840" s="11"/>
      <c r="L840" s="11">
        <f t="shared" si="1"/>
        <v>0</v>
      </c>
      <c r="M840" s="11"/>
    </row>
    <row r="841" ht="22.5" customHeight="1">
      <c r="B841" s="10"/>
      <c r="D841" s="10"/>
      <c r="E841" s="10"/>
      <c r="I841" s="11"/>
      <c r="L841" s="11">
        <f t="shared" si="1"/>
        <v>0</v>
      </c>
      <c r="M841" s="11"/>
    </row>
    <row r="842" ht="22.5" customHeight="1">
      <c r="B842" s="10"/>
      <c r="D842" s="10"/>
      <c r="E842" s="10"/>
      <c r="I842" s="11"/>
      <c r="L842" s="11">
        <f t="shared" si="1"/>
        <v>0</v>
      </c>
      <c r="M842" s="11"/>
    </row>
    <row r="843" ht="22.5" customHeight="1">
      <c r="B843" s="10"/>
      <c r="D843" s="10"/>
      <c r="E843" s="10"/>
      <c r="I843" s="11"/>
      <c r="L843" s="11">
        <f t="shared" si="1"/>
        <v>0</v>
      </c>
      <c r="M843" s="11"/>
    </row>
    <row r="844" ht="22.5" customHeight="1">
      <c r="B844" s="10"/>
      <c r="D844" s="10"/>
      <c r="E844" s="10"/>
      <c r="I844" s="11"/>
      <c r="L844" s="11">
        <f t="shared" si="1"/>
        <v>0</v>
      </c>
      <c r="M844" s="11"/>
    </row>
    <row r="845" ht="22.5" customHeight="1">
      <c r="B845" s="10"/>
      <c r="D845" s="10"/>
      <c r="E845" s="10"/>
      <c r="I845" s="11"/>
      <c r="L845" s="11">
        <f t="shared" si="1"/>
        <v>0</v>
      </c>
      <c r="M845" s="11"/>
    </row>
    <row r="846" ht="22.5" customHeight="1">
      <c r="B846" s="10"/>
      <c r="D846" s="10"/>
      <c r="E846" s="10"/>
      <c r="I846" s="11"/>
      <c r="L846" s="11">
        <f t="shared" si="1"/>
        <v>0</v>
      </c>
      <c r="M846" s="11"/>
    </row>
    <row r="847" ht="22.5" customHeight="1">
      <c r="B847" s="10"/>
      <c r="D847" s="10"/>
      <c r="E847" s="10"/>
      <c r="I847" s="11"/>
      <c r="L847" s="11">
        <f t="shared" si="1"/>
        <v>0</v>
      </c>
      <c r="M847" s="11"/>
    </row>
    <row r="848" ht="22.5" customHeight="1">
      <c r="B848" s="10"/>
      <c r="D848" s="10"/>
      <c r="E848" s="10"/>
      <c r="I848" s="11"/>
      <c r="L848" s="11">
        <f t="shared" si="1"/>
        <v>0</v>
      </c>
      <c r="M848" s="11"/>
    </row>
    <row r="849" ht="22.5" customHeight="1">
      <c r="B849" s="10"/>
      <c r="D849" s="10"/>
      <c r="E849" s="10"/>
      <c r="I849" s="11"/>
      <c r="L849" s="11">
        <f t="shared" si="1"/>
        <v>0</v>
      </c>
      <c r="M849" s="11"/>
    </row>
    <row r="850" ht="22.5" customHeight="1">
      <c r="B850" s="10"/>
      <c r="D850" s="10"/>
      <c r="E850" s="10"/>
      <c r="I850" s="11"/>
      <c r="L850" s="11">
        <f t="shared" si="1"/>
        <v>0</v>
      </c>
      <c r="M850" s="11"/>
    </row>
    <row r="851" ht="22.5" customHeight="1">
      <c r="B851" s="10"/>
      <c r="D851" s="10"/>
      <c r="E851" s="10"/>
      <c r="I851" s="11"/>
      <c r="L851" s="11">
        <f t="shared" si="1"/>
        <v>0</v>
      </c>
      <c r="M851" s="11"/>
    </row>
    <row r="852" ht="22.5" customHeight="1">
      <c r="B852" s="10"/>
      <c r="D852" s="10"/>
      <c r="E852" s="10"/>
      <c r="I852" s="11"/>
      <c r="L852" s="11">
        <f t="shared" si="1"/>
        <v>0</v>
      </c>
      <c r="M852" s="11"/>
    </row>
    <row r="853" ht="22.5" customHeight="1">
      <c r="B853" s="10"/>
      <c r="D853" s="10"/>
      <c r="E853" s="10"/>
      <c r="I853" s="11"/>
      <c r="L853" s="11">
        <f t="shared" si="1"/>
        <v>0</v>
      </c>
      <c r="M853" s="11"/>
    </row>
    <row r="854" ht="22.5" customHeight="1">
      <c r="B854" s="10"/>
      <c r="D854" s="10"/>
      <c r="E854" s="10"/>
      <c r="I854" s="11"/>
      <c r="L854" s="11">
        <f t="shared" si="1"/>
        <v>0</v>
      </c>
      <c r="M854" s="11"/>
    </row>
    <row r="855" ht="22.5" customHeight="1">
      <c r="B855" s="10"/>
      <c r="D855" s="10"/>
      <c r="E855" s="10"/>
      <c r="I855" s="11"/>
      <c r="L855" s="11">
        <f t="shared" si="1"/>
        <v>0</v>
      </c>
      <c r="M855" s="11"/>
    </row>
    <row r="856" ht="22.5" customHeight="1">
      <c r="B856" s="10"/>
      <c r="D856" s="10"/>
      <c r="E856" s="10"/>
      <c r="I856" s="11"/>
      <c r="L856" s="11">
        <f t="shared" si="1"/>
        <v>0</v>
      </c>
      <c r="M856" s="11"/>
    </row>
    <row r="857" ht="22.5" customHeight="1">
      <c r="B857" s="10"/>
      <c r="D857" s="10"/>
      <c r="E857" s="10"/>
      <c r="I857" s="11"/>
      <c r="L857" s="11">
        <f t="shared" si="1"/>
        <v>0</v>
      </c>
      <c r="M857" s="11"/>
    </row>
    <row r="858" ht="22.5" customHeight="1">
      <c r="B858" s="10"/>
      <c r="D858" s="10"/>
      <c r="E858" s="10"/>
      <c r="I858" s="11"/>
      <c r="L858" s="11">
        <f t="shared" si="1"/>
        <v>0</v>
      </c>
      <c r="M858" s="11"/>
    </row>
    <row r="859" ht="22.5" customHeight="1">
      <c r="B859" s="10"/>
      <c r="D859" s="10"/>
      <c r="E859" s="10"/>
      <c r="I859" s="11"/>
      <c r="L859" s="11">
        <f t="shared" si="1"/>
        <v>0</v>
      </c>
      <c r="M859" s="11"/>
    </row>
    <row r="860" ht="22.5" customHeight="1">
      <c r="B860" s="10"/>
      <c r="D860" s="10"/>
      <c r="E860" s="10"/>
      <c r="I860" s="11"/>
      <c r="L860" s="11">
        <f t="shared" si="1"/>
        <v>0</v>
      </c>
      <c r="M860" s="11"/>
    </row>
    <row r="861" ht="22.5" customHeight="1">
      <c r="B861" s="10"/>
      <c r="D861" s="10"/>
      <c r="E861" s="10"/>
      <c r="I861" s="11"/>
      <c r="L861" s="11">
        <f t="shared" si="1"/>
        <v>0</v>
      </c>
      <c r="M861" s="11"/>
    </row>
    <row r="862" ht="22.5" customHeight="1">
      <c r="B862" s="10"/>
      <c r="D862" s="10"/>
      <c r="E862" s="10"/>
      <c r="I862" s="11"/>
      <c r="L862" s="11">
        <f t="shared" si="1"/>
        <v>0</v>
      </c>
      <c r="M862" s="11"/>
    </row>
    <row r="863" ht="22.5" customHeight="1">
      <c r="B863" s="10"/>
      <c r="D863" s="10"/>
      <c r="E863" s="10"/>
      <c r="I863" s="11"/>
      <c r="L863" s="11">
        <f t="shared" si="1"/>
        <v>0</v>
      </c>
      <c r="M863" s="11"/>
    </row>
    <row r="864" ht="22.5" customHeight="1">
      <c r="B864" s="10"/>
      <c r="D864" s="10"/>
      <c r="E864" s="10"/>
      <c r="I864" s="11"/>
      <c r="L864" s="11">
        <f t="shared" si="1"/>
        <v>0</v>
      </c>
      <c r="M864" s="11"/>
    </row>
    <row r="865" ht="22.5" customHeight="1">
      <c r="B865" s="10"/>
      <c r="D865" s="10"/>
      <c r="E865" s="10"/>
      <c r="I865" s="11"/>
      <c r="L865" s="11">
        <f t="shared" si="1"/>
        <v>0</v>
      </c>
      <c r="M865" s="11"/>
    </row>
    <row r="866" ht="22.5" customHeight="1">
      <c r="B866" s="10"/>
      <c r="D866" s="10"/>
      <c r="E866" s="10"/>
      <c r="I866" s="11"/>
      <c r="L866" s="11">
        <f t="shared" si="1"/>
        <v>0</v>
      </c>
      <c r="M866" s="11"/>
    </row>
    <row r="867" ht="22.5" customHeight="1">
      <c r="B867" s="10"/>
      <c r="D867" s="10"/>
      <c r="E867" s="10"/>
      <c r="I867" s="11"/>
      <c r="L867" s="11">
        <f t="shared" si="1"/>
        <v>0</v>
      </c>
      <c r="M867" s="11"/>
    </row>
    <row r="868" ht="22.5" customHeight="1">
      <c r="B868" s="10"/>
      <c r="D868" s="10"/>
      <c r="E868" s="10"/>
      <c r="I868" s="11"/>
      <c r="L868" s="11">
        <f t="shared" si="1"/>
        <v>0</v>
      </c>
      <c r="M868" s="11"/>
    </row>
    <row r="869" ht="22.5" customHeight="1">
      <c r="B869" s="10"/>
      <c r="D869" s="10"/>
      <c r="E869" s="10"/>
      <c r="I869" s="11"/>
      <c r="L869" s="11">
        <f t="shared" si="1"/>
        <v>0</v>
      </c>
      <c r="M869" s="11"/>
    </row>
    <row r="870" ht="22.5" customHeight="1">
      <c r="B870" s="10"/>
      <c r="D870" s="10"/>
      <c r="E870" s="10"/>
      <c r="I870" s="11"/>
      <c r="L870" s="11">
        <f t="shared" si="1"/>
        <v>0</v>
      </c>
      <c r="M870" s="11"/>
    </row>
    <row r="871" ht="22.5" customHeight="1">
      <c r="B871" s="10"/>
      <c r="D871" s="10"/>
      <c r="E871" s="10"/>
      <c r="I871" s="11"/>
      <c r="L871" s="11">
        <f t="shared" si="1"/>
        <v>0</v>
      </c>
      <c r="M871" s="11"/>
    </row>
    <row r="872" ht="22.5" customHeight="1">
      <c r="B872" s="10"/>
      <c r="D872" s="10"/>
      <c r="E872" s="10"/>
      <c r="I872" s="11"/>
      <c r="L872" s="11">
        <f t="shared" si="1"/>
        <v>0</v>
      </c>
      <c r="M872" s="11"/>
    </row>
    <row r="873" ht="22.5" customHeight="1">
      <c r="B873" s="10"/>
      <c r="D873" s="10"/>
      <c r="E873" s="10"/>
      <c r="I873" s="11"/>
      <c r="L873" s="11">
        <f t="shared" si="1"/>
        <v>0</v>
      </c>
      <c r="M873" s="11"/>
    </row>
    <row r="874" ht="22.5" customHeight="1">
      <c r="B874" s="10"/>
      <c r="D874" s="10"/>
      <c r="E874" s="10"/>
      <c r="I874" s="11"/>
      <c r="L874" s="11">
        <f t="shared" si="1"/>
        <v>0</v>
      </c>
      <c r="M874" s="11"/>
    </row>
    <row r="875" ht="22.5" customHeight="1">
      <c r="B875" s="10"/>
      <c r="D875" s="10"/>
      <c r="E875" s="10"/>
      <c r="I875" s="11"/>
      <c r="L875" s="11">
        <f t="shared" si="1"/>
        <v>0</v>
      </c>
      <c r="M875" s="11"/>
    </row>
    <row r="876" ht="22.5" customHeight="1">
      <c r="B876" s="10"/>
      <c r="D876" s="10"/>
      <c r="E876" s="10"/>
      <c r="I876" s="11"/>
      <c r="L876" s="11">
        <f t="shared" si="1"/>
        <v>0</v>
      </c>
      <c r="M876" s="11"/>
    </row>
    <row r="877" ht="22.5" customHeight="1">
      <c r="B877" s="10"/>
      <c r="D877" s="10"/>
      <c r="E877" s="10"/>
      <c r="I877" s="11"/>
      <c r="L877" s="11">
        <f t="shared" si="1"/>
        <v>0</v>
      </c>
      <c r="M877" s="11"/>
    </row>
    <row r="878" ht="22.5" customHeight="1">
      <c r="B878" s="10"/>
      <c r="D878" s="10"/>
      <c r="E878" s="10"/>
      <c r="I878" s="11"/>
      <c r="L878" s="11">
        <f t="shared" si="1"/>
        <v>0</v>
      </c>
      <c r="M878" s="11"/>
    </row>
    <row r="879" ht="22.5" customHeight="1">
      <c r="B879" s="10"/>
      <c r="D879" s="10"/>
      <c r="E879" s="10"/>
      <c r="I879" s="11"/>
      <c r="L879" s="11">
        <f t="shared" si="1"/>
        <v>0</v>
      </c>
      <c r="M879" s="11"/>
    </row>
    <row r="880" ht="22.5" customHeight="1">
      <c r="B880" s="10"/>
      <c r="D880" s="10"/>
      <c r="E880" s="10"/>
      <c r="I880" s="11"/>
      <c r="L880" s="11">
        <f t="shared" si="1"/>
        <v>0</v>
      </c>
      <c r="M880" s="11"/>
    </row>
    <row r="881" ht="22.5" customHeight="1">
      <c r="B881" s="10"/>
      <c r="D881" s="10"/>
      <c r="E881" s="10"/>
      <c r="I881" s="11"/>
      <c r="L881" s="11">
        <f t="shared" si="1"/>
        <v>0</v>
      </c>
      <c r="M881" s="11"/>
    </row>
    <row r="882" ht="22.5" customHeight="1">
      <c r="B882" s="10"/>
      <c r="D882" s="10"/>
      <c r="E882" s="10"/>
      <c r="I882" s="11"/>
      <c r="L882" s="11">
        <f t="shared" si="1"/>
        <v>0</v>
      </c>
      <c r="M882" s="11"/>
    </row>
    <row r="883" ht="22.5" customHeight="1">
      <c r="B883" s="10"/>
      <c r="D883" s="10"/>
      <c r="E883" s="10"/>
      <c r="I883" s="11"/>
      <c r="L883" s="11">
        <f t="shared" si="1"/>
        <v>0</v>
      </c>
      <c r="M883" s="11"/>
    </row>
    <row r="884" ht="22.5" customHeight="1">
      <c r="B884" s="10"/>
      <c r="D884" s="10"/>
      <c r="E884" s="10"/>
      <c r="I884" s="11"/>
      <c r="L884" s="11">
        <f t="shared" si="1"/>
        <v>0</v>
      </c>
      <c r="M884" s="11"/>
    </row>
    <row r="885" ht="22.5" customHeight="1">
      <c r="B885" s="10"/>
      <c r="D885" s="10"/>
      <c r="E885" s="10"/>
      <c r="I885" s="11"/>
      <c r="L885" s="11">
        <f t="shared" si="1"/>
        <v>0</v>
      </c>
      <c r="M885" s="11"/>
    </row>
    <row r="886" ht="22.5" customHeight="1">
      <c r="B886" s="10"/>
      <c r="D886" s="10"/>
      <c r="E886" s="10"/>
      <c r="I886" s="11"/>
      <c r="L886" s="11">
        <f t="shared" si="1"/>
        <v>0</v>
      </c>
      <c r="M886" s="11"/>
    </row>
    <row r="887" ht="22.5" customHeight="1">
      <c r="B887" s="10"/>
      <c r="D887" s="10"/>
      <c r="E887" s="10"/>
      <c r="I887" s="11"/>
      <c r="L887" s="11">
        <f t="shared" si="1"/>
        <v>0</v>
      </c>
      <c r="M887" s="11"/>
    </row>
    <row r="888" ht="22.5" customHeight="1">
      <c r="B888" s="10"/>
      <c r="D888" s="10"/>
      <c r="E888" s="10"/>
      <c r="I888" s="11"/>
      <c r="L888" s="11">
        <f t="shared" si="1"/>
        <v>0</v>
      </c>
      <c r="M888" s="11"/>
    </row>
    <row r="889" ht="22.5" customHeight="1">
      <c r="B889" s="10"/>
      <c r="D889" s="10"/>
      <c r="E889" s="10"/>
      <c r="I889" s="11"/>
      <c r="L889" s="11">
        <f t="shared" si="1"/>
        <v>0</v>
      </c>
      <c r="M889" s="11"/>
    </row>
    <row r="890" ht="22.5" customHeight="1">
      <c r="B890" s="10"/>
      <c r="D890" s="10"/>
      <c r="E890" s="10"/>
      <c r="I890" s="11"/>
      <c r="L890" s="11">
        <f t="shared" si="1"/>
        <v>0</v>
      </c>
      <c r="M890" s="11"/>
    </row>
    <row r="891" ht="22.5" customHeight="1">
      <c r="B891" s="10"/>
      <c r="D891" s="10"/>
      <c r="E891" s="10"/>
      <c r="I891" s="11"/>
      <c r="L891" s="11">
        <f t="shared" si="1"/>
        <v>0</v>
      </c>
      <c r="M891" s="11"/>
    </row>
    <row r="892" ht="22.5" customHeight="1">
      <c r="B892" s="10"/>
      <c r="D892" s="10"/>
      <c r="E892" s="10"/>
      <c r="I892" s="11"/>
      <c r="L892" s="11">
        <f t="shared" si="1"/>
        <v>0</v>
      </c>
      <c r="M892" s="11"/>
    </row>
    <row r="893" ht="22.5" customHeight="1">
      <c r="B893" s="10"/>
      <c r="D893" s="10"/>
      <c r="E893" s="10"/>
      <c r="I893" s="11"/>
      <c r="L893" s="11">
        <f t="shared" si="1"/>
        <v>0</v>
      </c>
      <c r="M893" s="11"/>
    </row>
    <row r="894" ht="22.5" customHeight="1">
      <c r="B894" s="10"/>
      <c r="D894" s="10"/>
      <c r="E894" s="10"/>
      <c r="I894" s="11"/>
      <c r="L894" s="11">
        <f t="shared" si="1"/>
        <v>0</v>
      </c>
      <c r="M894" s="11"/>
    </row>
    <row r="895" ht="22.5" customHeight="1">
      <c r="B895" s="10"/>
      <c r="D895" s="10"/>
      <c r="E895" s="10"/>
      <c r="I895" s="11"/>
      <c r="L895" s="11">
        <f t="shared" si="1"/>
        <v>0</v>
      </c>
      <c r="M895" s="11"/>
    </row>
    <row r="896" ht="22.5" customHeight="1">
      <c r="B896" s="10"/>
      <c r="D896" s="10"/>
      <c r="E896" s="10"/>
      <c r="I896" s="11"/>
      <c r="L896" s="11">
        <f t="shared" si="1"/>
        <v>0</v>
      </c>
      <c r="M896" s="11"/>
    </row>
    <row r="897" ht="22.5" customHeight="1">
      <c r="B897" s="10"/>
      <c r="D897" s="10"/>
      <c r="E897" s="10"/>
      <c r="I897" s="11"/>
      <c r="L897" s="11">
        <f t="shared" si="1"/>
        <v>0</v>
      </c>
      <c r="M897" s="11"/>
    </row>
    <row r="898" ht="22.5" customHeight="1">
      <c r="B898" s="10"/>
      <c r="D898" s="10"/>
      <c r="E898" s="10"/>
      <c r="I898" s="11"/>
      <c r="L898" s="11">
        <f t="shared" si="1"/>
        <v>0</v>
      </c>
      <c r="M898" s="11"/>
    </row>
    <row r="899" ht="22.5" customHeight="1">
      <c r="B899" s="10"/>
      <c r="D899" s="10"/>
      <c r="E899" s="10"/>
      <c r="I899" s="11"/>
      <c r="L899" s="11">
        <f t="shared" si="1"/>
        <v>0</v>
      </c>
      <c r="M899" s="11"/>
    </row>
    <row r="900" ht="22.5" customHeight="1">
      <c r="B900" s="10"/>
      <c r="D900" s="10"/>
      <c r="E900" s="10"/>
      <c r="I900" s="11"/>
      <c r="L900" s="11">
        <f t="shared" si="1"/>
        <v>0</v>
      </c>
      <c r="M900" s="11"/>
    </row>
    <row r="901" ht="22.5" customHeight="1">
      <c r="B901" s="10"/>
      <c r="D901" s="10"/>
      <c r="E901" s="10"/>
      <c r="I901" s="11"/>
      <c r="L901" s="11">
        <f t="shared" si="1"/>
        <v>0</v>
      </c>
      <c r="M901" s="11"/>
    </row>
    <row r="902" ht="22.5" customHeight="1">
      <c r="B902" s="10"/>
      <c r="D902" s="10"/>
      <c r="E902" s="10"/>
      <c r="I902" s="11"/>
      <c r="L902" s="11">
        <f t="shared" si="1"/>
        <v>0</v>
      </c>
      <c r="M902" s="11"/>
    </row>
    <row r="903" ht="22.5" customHeight="1">
      <c r="B903" s="10"/>
      <c r="D903" s="10"/>
      <c r="E903" s="10"/>
      <c r="I903" s="11"/>
      <c r="L903" s="11">
        <f t="shared" si="1"/>
        <v>0</v>
      </c>
      <c r="M903" s="11"/>
    </row>
    <row r="904" ht="22.5" customHeight="1">
      <c r="B904" s="10"/>
      <c r="D904" s="10"/>
      <c r="E904" s="10"/>
      <c r="I904" s="11"/>
      <c r="L904" s="11">
        <f t="shared" si="1"/>
        <v>0</v>
      </c>
      <c r="M904" s="11"/>
    </row>
    <row r="905" ht="22.5" customHeight="1">
      <c r="B905" s="10"/>
      <c r="D905" s="10"/>
      <c r="E905" s="10"/>
      <c r="I905" s="11"/>
      <c r="L905" s="11">
        <f t="shared" si="1"/>
        <v>0</v>
      </c>
      <c r="M905" s="11"/>
    </row>
    <row r="906" ht="22.5" customHeight="1">
      <c r="B906" s="10"/>
      <c r="D906" s="10"/>
      <c r="E906" s="10"/>
      <c r="I906" s="11"/>
      <c r="L906" s="11">
        <f t="shared" si="1"/>
        <v>0</v>
      </c>
      <c r="M906" s="11"/>
    </row>
    <row r="907" ht="22.5" customHeight="1">
      <c r="B907" s="10"/>
      <c r="D907" s="10"/>
      <c r="E907" s="10"/>
      <c r="I907" s="11"/>
      <c r="L907" s="11">
        <f t="shared" si="1"/>
        <v>0</v>
      </c>
      <c r="M907" s="11"/>
    </row>
    <row r="908" ht="22.5" customHeight="1">
      <c r="B908" s="10"/>
      <c r="D908" s="10"/>
      <c r="E908" s="10"/>
      <c r="I908" s="11"/>
      <c r="L908" s="11">
        <f t="shared" si="1"/>
        <v>0</v>
      </c>
      <c r="M908" s="11"/>
    </row>
    <row r="909" ht="22.5" customHeight="1">
      <c r="B909" s="10"/>
      <c r="D909" s="10"/>
      <c r="E909" s="10"/>
      <c r="I909" s="11"/>
      <c r="L909" s="11">
        <f t="shared" si="1"/>
        <v>0</v>
      </c>
      <c r="M909" s="11"/>
    </row>
    <row r="910" ht="22.5" customHeight="1">
      <c r="B910" s="10"/>
      <c r="D910" s="10"/>
      <c r="E910" s="10"/>
      <c r="I910" s="11"/>
      <c r="L910" s="11">
        <f t="shared" si="1"/>
        <v>0</v>
      </c>
      <c r="M910" s="11"/>
    </row>
    <row r="911" ht="22.5" customHeight="1">
      <c r="B911" s="10"/>
      <c r="D911" s="10"/>
      <c r="E911" s="10"/>
      <c r="I911" s="11"/>
      <c r="L911" s="11">
        <f t="shared" si="1"/>
        <v>0</v>
      </c>
      <c r="M911" s="11"/>
    </row>
    <row r="912" ht="22.5" customHeight="1">
      <c r="B912" s="10"/>
      <c r="D912" s="10"/>
      <c r="E912" s="10"/>
      <c r="I912" s="11"/>
      <c r="L912" s="11">
        <f t="shared" si="1"/>
        <v>0</v>
      </c>
      <c r="M912" s="11"/>
    </row>
    <row r="913" ht="22.5" customHeight="1">
      <c r="B913" s="10"/>
      <c r="D913" s="10"/>
      <c r="E913" s="10"/>
      <c r="I913" s="11"/>
      <c r="L913" s="11">
        <f t="shared" si="1"/>
        <v>0</v>
      </c>
      <c r="M913" s="11"/>
    </row>
    <row r="914" ht="22.5" customHeight="1">
      <c r="B914" s="10"/>
      <c r="D914" s="10"/>
      <c r="E914" s="10"/>
      <c r="I914" s="11"/>
      <c r="L914" s="11">
        <f t="shared" si="1"/>
        <v>0</v>
      </c>
      <c r="M914" s="11"/>
    </row>
    <row r="915" ht="22.5" customHeight="1">
      <c r="B915" s="10"/>
      <c r="D915" s="10"/>
      <c r="E915" s="10"/>
      <c r="I915" s="11"/>
      <c r="L915" s="11">
        <f t="shared" si="1"/>
        <v>0</v>
      </c>
      <c r="M915" s="11"/>
    </row>
    <row r="916" ht="22.5" customHeight="1">
      <c r="B916" s="10"/>
      <c r="D916" s="10"/>
      <c r="E916" s="10"/>
      <c r="I916" s="11"/>
      <c r="L916" s="11">
        <f t="shared" si="1"/>
        <v>0</v>
      </c>
      <c r="M916" s="11"/>
    </row>
    <row r="917" ht="22.5" customHeight="1">
      <c r="B917" s="10"/>
      <c r="D917" s="10"/>
      <c r="E917" s="10"/>
      <c r="I917" s="11"/>
      <c r="L917" s="11">
        <f t="shared" si="1"/>
        <v>0</v>
      </c>
      <c r="M917" s="11"/>
    </row>
    <row r="918" ht="22.5" customHeight="1">
      <c r="B918" s="10"/>
      <c r="D918" s="10"/>
      <c r="E918" s="10"/>
      <c r="I918" s="11"/>
      <c r="L918" s="11">
        <f t="shared" si="1"/>
        <v>0</v>
      </c>
      <c r="M918" s="11"/>
    </row>
    <row r="919" ht="22.5" customHeight="1">
      <c r="B919" s="10"/>
      <c r="D919" s="10"/>
      <c r="E919" s="10"/>
      <c r="I919" s="11"/>
      <c r="L919" s="11">
        <f t="shared" si="1"/>
        <v>0</v>
      </c>
      <c r="M919" s="11"/>
    </row>
    <row r="920" ht="22.5" customHeight="1">
      <c r="B920" s="10"/>
      <c r="D920" s="10"/>
      <c r="E920" s="10"/>
      <c r="I920" s="11"/>
      <c r="L920" s="11">
        <f t="shared" si="1"/>
        <v>0</v>
      </c>
      <c r="M920" s="11"/>
    </row>
    <row r="921" ht="22.5" customHeight="1">
      <c r="B921" s="10"/>
      <c r="D921" s="10"/>
      <c r="E921" s="10"/>
      <c r="I921" s="11"/>
      <c r="L921" s="11">
        <f t="shared" si="1"/>
        <v>0</v>
      </c>
      <c r="M921" s="11"/>
    </row>
    <row r="922" ht="22.5" customHeight="1">
      <c r="B922" s="10"/>
      <c r="D922" s="10"/>
      <c r="E922" s="10"/>
      <c r="I922" s="11"/>
      <c r="L922" s="11">
        <f t="shared" si="1"/>
        <v>0</v>
      </c>
      <c r="M922" s="11"/>
    </row>
    <row r="923" ht="22.5" customHeight="1">
      <c r="B923" s="10"/>
      <c r="D923" s="10"/>
      <c r="E923" s="10"/>
      <c r="I923" s="11"/>
      <c r="L923" s="11">
        <f t="shared" si="1"/>
        <v>0</v>
      </c>
      <c r="M923" s="11"/>
    </row>
    <row r="924" ht="22.5" customHeight="1">
      <c r="B924" s="10"/>
      <c r="D924" s="10"/>
      <c r="E924" s="10"/>
      <c r="I924" s="11"/>
      <c r="L924" s="11">
        <f t="shared" si="1"/>
        <v>0</v>
      </c>
      <c r="M924" s="11"/>
    </row>
    <row r="925" ht="22.5" customHeight="1">
      <c r="B925" s="10"/>
      <c r="D925" s="10"/>
      <c r="E925" s="10"/>
      <c r="I925" s="11"/>
      <c r="L925" s="11">
        <f t="shared" si="1"/>
        <v>0</v>
      </c>
      <c r="M925" s="11"/>
    </row>
    <row r="926" ht="22.5" customHeight="1">
      <c r="B926" s="10"/>
      <c r="D926" s="10"/>
      <c r="E926" s="10"/>
      <c r="I926" s="11"/>
      <c r="L926" s="11">
        <f t="shared" si="1"/>
        <v>0</v>
      </c>
      <c r="M926" s="11"/>
    </row>
    <row r="927" ht="22.5" customHeight="1">
      <c r="B927" s="10"/>
      <c r="D927" s="10"/>
      <c r="E927" s="10"/>
      <c r="I927" s="11"/>
      <c r="L927" s="11">
        <f t="shared" si="1"/>
        <v>0</v>
      </c>
      <c r="M927" s="11"/>
    </row>
    <row r="928" ht="22.5" customHeight="1">
      <c r="B928" s="10"/>
      <c r="D928" s="10"/>
      <c r="E928" s="10"/>
      <c r="I928" s="11"/>
      <c r="L928" s="11">
        <f t="shared" si="1"/>
        <v>0</v>
      </c>
      <c r="M928" s="11"/>
    </row>
    <row r="929" ht="22.5" customHeight="1">
      <c r="B929" s="10"/>
      <c r="D929" s="10"/>
      <c r="E929" s="10"/>
      <c r="I929" s="11"/>
      <c r="L929" s="11">
        <f t="shared" si="1"/>
        <v>0</v>
      </c>
      <c r="M929" s="11"/>
    </row>
    <row r="930" ht="22.5" customHeight="1">
      <c r="B930" s="10"/>
      <c r="D930" s="10"/>
      <c r="E930" s="10"/>
      <c r="I930" s="11"/>
      <c r="L930" s="11">
        <f t="shared" si="1"/>
        <v>0</v>
      </c>
      <c r="M930" s="11"/>
    </row>
    <row r="931" ht="22.5" customHeight="1">
      <c r="B931" s="10"/>
      <c r="D931" s="10"/>
      <c r="E931" s="10"/>
      <c r="I931" s="11"/>
      <c r="L931" s="11">
        <f t="shared" si="1"/>
        <v>0</v>
      </c>
      <c r="M931" s="11"/>
    </row>
    <row r="932" ht="22.5" customHeight="1">
      <c r="B932" s="10"/>
      <c r="D932" s="10"/>
      <c r="E932" s="10"/>
      <c r="I932" s="11"/>
      <c r="L932" s="11">
        <f t="shared" si="1"/>
        <v>0</v>
      </c>
      <c r="M932" s="11"/>
    </row>
    <row r="933" ht="22.5" customHeight="1">
      <c r="B933" s="10"/>
      <c r="D933" s="10"/>
      <c r="E933" s="10"/>
      <c r="I933" s="11"/>
      <c r="L933" s="11">
        <f t="shared" si="1"/>
        <v>0</v>
      </c>
      <c r="M933" s="11"/>
    </row>
    <row r="934" ht="22.5" customHeight="1">
      <c r="B934" s="10"/>
      <c r="D934" s="10"/>
      <c r="E934" s="10"/>
      <c r="I934" s="11"/>
      <c r="L934" s="11">
        <f t="shared" si="1"/>
        <v>0</v>
      </c>
      <c r="M934" s="11"/>
    </row>
    <row r="935" ht="22.5" customHeight="1">
      <c r="B935" s="10"/>
      <c r="D935" s="10"/>
      <c r="E935" s="10"/>
      <c r="I935" s="11"/>
      <c r="L935" s="11">
        <f t="shared" si="1"/>
        <v>0</v>
      </c>
      <c r="M935" s="11"/>
    </row>
    <row r="936" ht="22.5" customHeight="1">
      <c r="B936" s="10"/>
      <c r="D936" s="10"/>
      <c r="E936" s="10"/>
      <c r="I936" s="11"/>
      <c r="L936" s="11">
        <f t="shared" si="1"/>
        <v>0</v>
      </c>
      <c r="M936" s="11"/>
    </row>
    <row r="937" ht="22.5" customHeight="1">
      <c r="B937" s="10"/>
      <c r="D937" s="10"/>
      <c r="E937" s="10"/>
      <c r="I937" s="11"/>
      <c r="L937" s="11">
        <f t="shared" si="1"/>
        <v>0</v>
      </c>
      <c r="M937" s="11"/>
    </row>
    <row r="938" ht="22.5" customHeight="1">
      <c r="B938" s="10"/>
      <c r="D938" s="10"/>
      <c r="E938" s="10"/>
      <c r="I938" s="11"/>
      <c r="L938" s="11">
        <f t="shared" si="1"/>
        <v>0</v>
      </c>
      <c r="M938" s="11"/>
    </row>
    <row r="939" ht="22.5" customHeight="1">
      <c r="B939" s="10"/>
      <c r="D939" s="10"/>
      <c r="E939" s="10"/>
      <c r="I939" s="11"/>
      <c r="L939" s="11">
        <f t="shared" si="1"/>
        <v>0</v>
      </c>
      <c r="M939" s="11"/>
    </row>
    <row r="940" ht="22.5" customHeight="1">
      <c r="B940" s="10"/>
      <c r="D940" s="10"/>
      <c r="E940" s="10"/>
      <c r="I940" s="11"/>
      <c r="L940" s="11">
        <f t="shared" si="1"/>
        <v>0</v>
      </c>
      <c r="M940" s="11"/>
    </row>
    <row r="941" ht="22.5" customHeight="1">
      <c r="B941" s="10"/>
      <c r="D941" s="10"/>
      <c r="E941" s="10"/>
      <c r="I941" s="11"/>
      <c r="L941" s="11">
        <f t="shared" si="1"/>
        <v>0</v>
      </c>
      <c r="M941" s="11"/>
    </row>
    <row r="942" ht="22.5" customHeight="1">
      <c r="B942" s="10"/>
      <c r="D942" s="10"/>
      <c r="E942" s="10"/>
      <c r="I942" s="11"/>
      <c r="L942" s="11">
        <f t="shared" si="1"/>
        <v>0</v>
      </c>
      <c r="M942" s="11"/>
    </row>
    <row r="943" ht="22.5" customHeight="1">
      <c r="B943" s="10"/>
      <c r="D943" s="10"/>
      <c r="E943" s="10"/>
      <c r="I943" s="11"/>
      <c r="L943" s="11">
        <f t="shared" si="1"/>
        <v>0</v>
      </c>
      <c r="M943" s="11"/>
    </row>
    <row r="944" ht="22.5" customHeight="1">
      <c r="B944" s="10"/>
      <c r="D944" s="10"/>
      <c r="E944" s="10"/>
      <c r="I944" s="11"/>
      <c r="L944" s="11">
        <f t="shared" si="1"/>
        <v>0</v>
      </c>
      <c r="M944" s="11"/>
    </row>
    <row r="945" ht="22.5" customHeight="1">
      <c r="B945" s="10"/>
      <c r="D945" s="10"/>
      <c r="E945" s="10"/>
      <c r="I945" s="11"/>
      <c r="L945" s="11">
        <f t="shared" si="1"/>
        <v>0</v>
      </c>
      <c r="M945" s="11"/>
    </row>
    <row r="946" ht="22.5" customHeight="1">
      <c r="B946" s="10"/>
      <c r="D946" s="10"/>
      <c r="E946" s="10"/>
      <c r="I946" s="11"/>
      <c r="L946" s="11">
        <f t="shared" si="1"/>
        <v>0</v>
      </c>
      <c r="M946" s="11"/>
    </row>
    <row r="947" ht="22.5" customHeight="1">
      <c r="B947" s="10"/>
      <c r="D947" s="10"/>
      <c r="E947" s="10"/>
      <c r="I947" s="11"/>
      <c r="L947" s="11">
        <f t="shared" si="1"/>
        <v>0</v>
      </c>
      <c r="M947" s="11"/>
    </row>
    <row r="948" ht="22.5" customHeight="1">
      <c r="B948" s="10"/>
      <c r="D948" s="10"/>
      <c r="E948" s="10"/>
      <c r="I948" s="11"/>
      <c r="L948" s="11">
        <f t="shared" si="1"/>
        <v>0</v>
      </c>
      <c r="M948" s="11"/>
    </row>
    <row r="949" ht="22.5" customHeight="1">
      <c r="B949" s="10"/>
      <c r="D949" s="10"/>
      <c r="E949" s="10"/>
      <c r="I949" s="11"/>
      <c r="L949" s="11">
        <f t="shared" si="1"/>
        <v>0</v>
      </c>
      <c r="M949" s="11"/>
    </row>
    <row r="950" ht="22.5" customHeight="1">
      <c r="B950" s="10"/>
      <c r="D950" s="10"/>
      <c r="E950" s="10"/>
      <c r="I950" s="11"/>
      <c r="L950" s="11">
        <f t="shared" si="1"/>
        <v>0</v>
      </c>
      <c r="M950" s="11"/>
    </row>
    <row r="951" ht="22.5" customHeight="1">
      <c r="B951" s="10"/>
      <c r="D951" s="10"/>
      <c r="E951" s="10"/>
      <c r="I951" s="11"/>
      <c r="L951" s="11">
        <f t="shared" si="1"/>
        <v>0</v>
      </c>
      <c r="M951" s="11"/>
    </row>
    <row r="952" ht="22.5" customHeight="1">
      <c r="B952" s="10"/>
      <c r="D952" s="10"/>
      <c r="E952" s="10"/>
      <c r="I952" s="11"/>
      <c r="L952" s="11">
        <f t="shared" si="1"/>
        <v>0</v>
      </c>
      <c r="M952" s="11"/>
    </row>
    <row r="953" ht="22.5" customHeight="1">
      <c r="B953" s="10"/>
      <c r="D953" s="10"/>
      <c r="E953" s="10"/>
      <c r="I953" s="11"/>
      <c r="L953" s="11">
        <f t="shared" si="1"/>
        <v>0</v>
      </c>
      <c r="M953" s="11"/>
    </row>
    <row r="954" ht="22.5" customHeight="1">
      <c r="B954" s="10"/>
      <c r="D954" s="10"/>
      <c r="E954" s="10"/>
      <c r="I954" s="11"/>
      <c r="L954" s="11">
        <f t="shared" si="1"/>
        <v>0</v>
      </c>
      <c r="M954" s="11"/>
    </row>
    <row r="955" ht="22.5" customHeight="1">
      <c r="B955" s="10"/>
      <c r="D955" s="10"/>
      <c r="E955" s="10"/>
      <c r="I955" s="11"/>
      <c r="L955" s="11">
        <f t="shared" si="1"/>
        <v>0</v>
      </c>
      <c r="M955" s="11"/>
    </row>
    <row r="956" ht="22.5" customHeight="1">
      <c r="B956" s="10"/>
      <c r="D956" s="10"/>
      <c r="E956" s="10"/>
      <c r="I956" s="11"/>
      <c r="L956" s="11">
        <f t="shared" si="1"/>
        <v>0</v>
      </c>
      <c r="M956" s="11"/>
    </row>
    <row r="957" ht="22.5" customHeight="1">
      <c r="B957" s="10"/>
      <c r="D957" s="10"/>
      <c r="E957" s="10"/>
      <c r="I957" s="11"/>
      <c r="L957" s="11">
        <f t="shared" si="1"/>
        <v>0</v>
      </c>
      <c r="M957" s="11"/>
    </row>
    <row r="958" ht="22.5" customHeight="1">
      <c r="B958" s="10"/>
      <c r="D958" s="10"/>
      <c r="E958" s="10"/>
      <c r="I958" s="11"/>
      <c r="L958" s="11">
        <f t="shared" si="1"/>
        <v>0</v>
      </c>
      <c r="M958" s="11"/>
    </row>
    <row r="959" ht="22.5" customHeight="1">
      <c r="B959" s="10"/>
      <c r="D959" s="10"/>
      <c r="E959" s="10"/>
      <c r="I959" s="11"/>
      <c r="L959" s="11">
        <f t="shared" si="1"/>
        <v>0</v>
      </c>
      <c r="M959" s="11"/>
    </row>
    <row r="960" ht="22.5" customHeight="1">
      <c r="B960" s="10"/>
      <c r="D960" s="10"/>
      <c r="E960" s="10"/>
      <c r="I960" s="11"/>
      <c r="L960" s="11">
        <f t="shared" si="1"/>
        <v>0</v>
      </c>
      <c r="M960" s="11"/>
    </row>
    <row r="961" ht="22.5" customHeight="1">
      <c r="B961" s="10"/>
      <c r="D961" s="10"/>
      <c r="E961" s="10"/>
      <c r="I961" s="11"/>
      <c r="L961" s="11">
        <f t="shared" si="1"/>
        <v>0</v>
      </c>
      <c r="M961" s="11"/>
    </row>
    <row r="962" ht="22.5" customHeight="1">
      <c r="B962" s="10"/>
      <c r="D962" s="10"/>
      <c r="E962" s="10"/>
      <c r="I962" s="11"/>
      <c r="L962" s="11">
        <f t="shared" si="1"/>
        <v>0</v>
      </c>
      <c r="M962" s="11"/>
    </row>
    <row r="963" ht="22.5" customHeight="1">
      <c r="B963" s="10"/>
      <c r="D963" s="10"/>
      <c r="E963" s="10"/>
      <c r="I963" s="11"/>
      <c r="L963" s="11">
        <f t="shared" si="1"/>
        <v>0</v>
      </c>
      <c r="M963" s="11"/>
    </row>
    <row r="964" ht="22.5" customHeight="1">
      <c r="B964" s="10"/>
      <c r="D964" s="10"/>
      <c r="E964" s="10"/>
      <c r="I964" s="11"/>
      <c r="L964" s="11">
        <f t="shared" si="1"/>
        <v>0</v>
      </c>
      <c r="M964" s="11"/>
    </row>
    <row r="965" ht="22.5" customHeight="1">
      <c r="B965" s="10"/>
      <c r="D965" s="10"/>
      <c r="E965" s="10"/>
      <c r="I965" s="11"/>
      <c r="L965" s="11">
        <f t="shared" si="1"/>
        <v>0</v>
      </c>
      <c r="M965" s="11"/>
    </row>
    <row r="966" ht="22.5" customHeight="1">
      <c r="B966" s="10"/>
      <c r="D966" s="10"/>
      <c r="E966" s="10"/>
      <c r="I966" s="11"/>
      <c r="L966" s="11">
        <f t="shared" si="1"/>
        <v>0</v>
      </c>
      <c r="M966" s="11"/>
    </row>
    <row r="967" ht="22.5" customHeight="1">
      <c r="B967" s="10"/>
      <c r="D967" s="10"/>
      <c r="E967" s="10"/>
      <c r="I967" s="11"/>
      <c r="L967" s="11">
        <f t="shared" si="1"/>
        <v>0</v>
      </c>
      <c r="M967" s="11"/>
    </row>
    <row r="968" ht="22.5" customHeight="1">
      <c r="B968" s="10"/>
      <c r="D968" s="10"/>
      <c r="E968" s="10"/>
      <c r="I968" s="11"/>
      <c r="L968" s="11">
        <f t="shared" si="1"/>
        <v>0</v>
      </c>
      <c r="M968" s="11"/>
    </row>
    <row r="969" ht="22.5" customHeight="1">
      <c r="B969" s="10"/>
      <c r="D969" s="10"/>
      <c r="E969" s="10"/>
      <c r="I969" s="11"/>
      <c r="L969" s="11">
        <f t="shared" si="1"/>
        <v>0</v>
      </c>
      <c r="M969" s="11"/>
    </row>
    <row r="970" ht="22.5" customHeight="1">
      <c r="B970" s="10"/>
      <c r="D970" s="10"/>
      <c r="E970" s="10"/>
      <c r="I970" s="11"/>
      <c r="L970" s="11">
        <f t="shared" si="1"/>
        <v>0</v>
      </c>
      <c r="M970" s="11"/>
    </row>
    <row r="971" ht="22.5" customHeight="1">
      <c r="B971" s="10"/>
      <c r="D971" s="10"/>
      <c r="E971" s="10"/>
      <c r="I971" s="11"/>
      <c r="L971" s="11">
        <f t="shared" si="1"/>
        <v>0</v>
      </c>
      <c r="M971" s="11"/>
    </row>
    <row r="972" ht="22.5" customHeight="1">
      <c r="B972" s="10"/>
      <c r="D972" s="10"/>
      <c r="E972" s="10"/>
      <c r="I972" s="11"/>
      <c r="L972" s="11">
        <f t="shared" si="1"/>
        <v>0</v>
      </c>
      <c r="M972" s="11"/>
    </row>
    <row r="973" ht="22.5" customHeight="1">
      <c r="B973" s="10"/>
      <c r="D973" s="10"/>
      <c r="E973" s="10"/>
      <c r="I973" s="11"/>
      <c r="L973" s="11">
        <f t="shared" si="1"/>
        <v>0</v>
      </c>
      <c r="M973" s="11"/>
    </row>
    <row r="974" ht="22.5" customHeight="1">
      <c r="B974" s="10"/>
      <c r="D974" s="10"/>
      <c r="E974" s="10"/>
      <c r="I974" s="11"/>
      <c r="L974" s="11">
        <f t="shared" si="1"/>
        <v>0</v>
      </c>
      <c r="M974" s="11"/>
    </row>
    <row r="975" ht="22.5" customHeight="1">
      <c r="B975" s="10"/>
      <c r="D975" s="10"/>
      <c r="E975" s="10"/>
      <c r="I975" s="11"/>
      <c r="L975" s="11">
        <f t="shared" si="1"/>
        <v>0</v>
      </c>
      <c r="M975" s="11"/>
    </row>
    <row r="976" ht="22.5" customHeight="1">
      <c r="B976" s="10"/>
      <c r="D976" s="10"/>
      <c r="E976" s="10"/>
      <c r="I976" s="11"/>
      <c r="L976" s="11">
        <f t="shared" si="1"/>
        <v>0</v>
      </c>
      <c r="M976" s="11"/>
    </row>
    <row r="977" ht="22.5" customHeight="1">
      <c r="B977" s="10"/>
      <c r="D977" s="10"/>
      <c r="E977" s="10"/>
      <c r="I977" s="11"/>
      <c r="L977" s="11">
        <f t="shared" si="1"/>
        <v>0</v>
      </c>
      <c r="M977" s="11"/>
    </row>
    <row r="978" ht="22.5" customHeight="1">
      <c r="B978" s="10"/>
      <c r="D978" s="10"/>
      <c r="E978" s="10"/>
      <c r="I978" s="11"/>
      <c r="L978" s="11">
        <f t="shared" si="1"/>
        <v>0</v>
      </c>
      <c r="M978" s="11"/>
    </row>
    <row r="979" ht="22.5" customHeight="1">
      <c r="B979" s="10"/>
      <c r="D979" s="10"/>
      <c r="E979" s="10"/>
      <c r="I979" s="11"/>
      <c r="L979" s="11">
        <f t="shared" si="1"/>
        <v>0</v>
      </c>
      <c r="M979" s="11"/>
    </row>
    <row r="980" ht="22.5" customHeight="1">
      <c r="B980" s="10"/>
      <c r="D980" s="10"/>
      <c r="E980" s="10"/>
      <c r="I980" s="11"/>
      <c r="L980" s="11">
        <f t="shared" si="1"/>
        <v>0</v>
      </c>
      <c r="M980" s="11"/>
    </row>
    <row r="981" ht="22.5" customHeight="1">
      <c r="B981" s="10"/>
      <c r="D981" s="10"/>
      <c r="E981" s="10"/>
      <c r="I981" s="11"/>
      <c r="L981" s="11">
        <f t="shared" si="1"/>
        <v>0</v>
      </c>
      <c r="M981" s="11"/>
    </row>
    <row r="982" ht="22.5" customHeight="1">
      <c r="B982" s="10"/>
      <c r="D982" s="10"/>
      <c r="E982" s="10"/>
      <c r="I982" s="11"/>
      <c r="L982" s="11">
        <f t="shared" si="1"/>
        <v>0</v>
      </c>
      <c r="M982" s="11"/>
    </row>
    <row r="983" ht="22.5" customHeight="1">
      <c r="B983" s="10"/>
      <c r="D983" s="10"/>
      <c r="E983" s="10"/>
      <c r="I983" s="11"/>
      <c r="L983" s="11">
        <f t="shared" si="1"/>
        <v>0</v>
      </c>
      <c r="M983" s="11"/>
    </row>
    <row r="984" ht="22.5" customHeight="1">
      <c r="B984" s="10"/>
      <c r="D984" s="10"/>
      <c r="E984" s="10"/>
      <c r="I984" s="11"/>
      <c r="L984" s="11">
        <f t="shared" si="1"/>
        <v>0</v>
      </c>
      <c r="M984" s="11"/>
    </row>
    <row r="985" ht="22.5" customHeight="1">
      <c r="B985" s="10"/>
      <c r="D985" s="10"/>
      <c r="E985" s="10"/>
      <c r="I985" s="11"/>
      <c r="L985" s="11">
        <f t="shared" si="1"/>
        <v>0</v>
      </c>
      <c r="M985" s="11"/>
    </row>
    <row r="986" ht="22.5" customHeight="1">
      <c r="B986" s="10"/>
      <c r="D986" s="10"/>
      <c r="E986" s="10"/>
      <c r="I986" s="11"/>
      <c r="L986" s="11">
        <f t="shared" si="1"/>
        <v>0</v>
      </c>
      <c r="M986" s="11"/>
    </row>
    <row r="987" ht="22.5" customHeight="1">
      <c r="B987" s="10"/>
      <c r="D987" s="10"/>
      <c r="E987" s="10"/>
      <c r="I987" s="11"/>
      <c r="L987" s="11">
        <f t="shared" si="1"/>
        <v>0</v>
      </c>
      <c r="M987" s="11"/>
    </row>
    <row r="988" ht="22.5" customHeight="1">
      <c r="B988" s="10"/>
      <c r="D988" s="10"/>
      <c r="E988" s="10"/>
      <c r="I988" s="11"/>
      <c r="L988" s="11">
        <f t="shared" si="1"/>
        <v>0</v>
      </c>
      <c r="M988" s="11"/>
    </row>
    <row r="989" ht="22.5" customHeight="1">
      <c r="B989" s="10"/>
      <c r="D989" s="10"/>
      <c r="E989" s="10"/>
      <c r="I989" s="11"/>
      <c r="L989" s="11">
        <f t="shared" si="1"/>
        <v>0</v>
      </c>
      <c r="M989" s="11"/>
    </row>
    <row r="990" ht="22.5" customHeight="1">
      <c r="B990" s="10"/>
      <c r="D990" s="10"/>
      <c r="E990" s="10"/>
      <c r="I990" s="11"/>
      <c r="L990" s="11">
        <f t="shared" si="1"/>
        <v>0</v>
      </c>
      <c r="M990" s="11"/>
    </row>
    <row r="991" ht="22.5" customHeight="1">
      <c r="B991" s="10"/>
      <c r="D991" s="10"/>
      <c r="E991" s="10"/>
      <c r="I991" s="11"/>
      <c r="L991" s="11">
        <f t="shared" si="1"/>
        <v>0</v>
      </c>
      <c r="M991" s="11"/>
    </row>
    <row r="992" ht="22.5" customHeight="1">
      <c r="B992" s="10"/>
      <c r="D992" s="10"/>
      <c r="E992" s="10"/>
      <c r="I992" s="11"/>
      <c r="L992" s="11">
        <f t="shared" si="1"/>
        <v>0</v>
      </c>
      <c r="M992" s="11"/>
    </row>
    <row r="993" ht="22.5" customHeight="1">
      <c r="B993" s="10"/>
      <c r="D993" s="10"/>
      <c r="E993" s="10"/>
      <c r="I993" s="11"/>
      <c r="L993" s="11">
        <f t="shared" si="1"/>
        <v>0</v>
      </c>
      <c r="M993" s="11"/>
    </row>
    <row r="994" ht="22.5" customHeight="1">
      <c r="B994" s="10"/>
      <c r="D994" s="10"/>
      <c r="E994" s="10"/>
      <c r="I994" s="11"/>
      <c r="L994" s="11">
        <f t="shared" si="1"/>
        <v>0</v>
      </c>
      <c r="M994" s="11"/>
    </row>
    <row r="995" ht="22.5" customHeight="1">
      <c r="B995" s="10"/>
      <c r="D995" s="10"/>
      <c r="E995" s="10"/>
      <c r="I995" s="11"/>
      <c r="L995" s="11">
        <f t="shared" si="1"/>
        <v>0</v>
      </c>
      <c r="M995" s="11"/>
    </row>
    <row r="996" ht="22.5" customHeight="1">
      <c r="B996" s="10"/>
      <c r="D996" s="10"/>
      <c r="E996" s="10"/>
      <c r="I996" s="11"/>
      <c r="L996" s="11">
        <f t="shared" si="1"/>
        <v>0</v>
      </c>
      <c r="M996" s="11"/>
    </row>
    <row r="997" ht="22.5" customHeight="1">
      <c r="B997" s="10"/>
      <c r="D997" s="10"/>
      <c r="E997" s="10"/>
      <c r="I997" s="11"/>
      <c r="L997" s="11">
        <f t="shared" si="1"/>
        <v>0</v>
      </c>
      <c r="M997" s="11"/>
    </row>
    <row r="998" ht="22.5" customHeight="1">
      <c r="B998" s="10"/>
      <c r="D998" s="10"/>
      <c r="E998" s="10"/>
      <c r="I998" s="11"/>
      <c r="L998" s="11">
        <f t="shared" si="1"/>
        <v>0</v>
      </c>
      <c r="M998" s="11"/>
    </row>
    <row r="999" ht="22.5" customHeight="1">
      <c r="B999" s="10"/>
      <c r="D999" s="10"/>
      <c r="E999" s="10"/>
      <c r="I999" s="11"/>
      <c r="L999" s="11">
        <f t="shared" si="1"/>
        <v>0</v>
      </c>
      <c r="M999" s="11"/>
    </row>
    <row r="1000" ht="22.5" customHeight="1">
      <c r="B1000" s="10"/>
      <c r="D1000" s="10"/>
      <c r="E1000" s="10"/>
      <c r="I1000" s="11"/>
      <c r="L1000" s="11">
        <f t="shared" si="1"/>
        <v>0</v>
      </c>
      <c r="M1000" s="11"/>
    </row>
    <row r="1001" ht="22.5" customHeight="1">
      <c r="B1001" s="10"/>
      <c r="D1001" s="10"/>
      <c r="E1001" s="10"/>
      <c r="I1001" s="11"/>
      <c r="L1001" s="11">
        <f t="shared" si="1"/>
        <v>0</v>
      </c>
      <c r="M1001" s="11"/>
    </row>
    <row r="1002" ht="22.5" customHeight="1">
      <c r="B1002" s="10"/>
      <c r="D1002" s="10"/>
      <c r="E1002" s="10"/>
      <c r="I1002" s="11"/>
      <c r="L1002" s="11">
        <f t="shared" si="1"/>
        <v>0</v>
      </c>
      <c r="M1002" s="11"/>
    </row>
    <row r="1003" ht="22.5" customHeight="1">
      <c r="B1003" s="10"/>
      <c r="D1003" s="10"/>
      <c r="E1003" s="10"/>
      <c r="I1003" s="11"/>
      <c r="L1003" s="11">
        <f t="shared" si="1"/>
        <v>0</v>
      </c>
      <c r="M1003" s="11"/>
    </row>
    <row r="1004" ht="22.5" customHeight="1">
      <c r="B1004" s="10"/>
      <c r="D1004" s="10"/>
      <c r="E1004" s="10"/>
      <c r="I1004" s="11"/>
      <c r="L1004" s="11">
        <f t="shared" si="1"/>
        <v>0</v>
      </c>
      <c r="M1004" s="11"/>
    </row>
    <row r="1005" ht="22.5" customHeight="1">
      <c r="B1005" s="10"/>
      <c r="D1005" s="10"/>
      <c r="E1005" s="10"/>
      <c r="I1005" s="11"/>
      <c r="L1005" s="11">
        <f t="shared" si="1"/>
        <v>0</v>
      </c>
      <c r="M1005" s="11"/>
    </row>
    <row r="1006" ht="22.5" customHeight="1">
      <c r="B1006" s="10"/>
      <c r="D1006" s="10"/>
      <c r="E1006" s="10"/>
      <c r="I1006" s="11"/>
      <c r="L1006" s="11">
        <f t="shared" si="1"/>
        <v>0</v>
      </c>
      <c r="M1006" s="11"/>
    </row>
    <row r="1007" ht="22.5" customHeight="1">
      <c r="B1007" s="10"/>
      <c r="D1007" s="10"/>
      <c r="E1007" s="10"/>
      <c r="I1007" s="11"/>
      <c r="L1007" s="11">
        <f t="shared" si="1"/>
        <v>0</v>
      </c>
      <c r="M1007" s="11"/>
    </row>
    <row r="1008" ht="22.5" customHeight="1">
      <c r="B1008" s="10"/>
      <c r="D1008" s="10"/>
      <c r="E1008" s="10"/>
      <c r="I1008" s="11"/>
      <c r="L1008" s="11">
        <f t="shared" si="1"/>
        <v>0</v>
      </c>
      <c r="M1008" s="11"/>
    </row>
    <row r="1009" ht="22.5" customHeight="1">
      <c r="B1009" s="10"/>
      <c r="D1009" s="10"/>
      <c r="E1009" s="10"/>
      <c r="I1009" s="11"/>
      <c r="L1009" s="11">
        <f t="shared" si="1"/>
        <v>0</v>
      </c>
      <c r="M1009" s="11"/>
    </row>
  </sheetData>
  <customSheetViews>
    <customSheetView guid="{BCC3BC4C-5378-4675-A676-E7B8F3BDD3EA}" filter="1" showAutoFilter="1">
      <autoFilter ref="$A$1:$I$1009"/>
      <extLst>
        <ext uri="GoogleSheetsCustomDataVersion1">
          <go:sheetsCustomData xmlns:go="http://customooxmlschemas.google.com/" filterViewId="1323394227"/>
        </ext>
      </extLst>
    </customSheetView>
  </customSheetViews>
  <drawing r:id="rId1"/>
  <tableParts count="2">
    <tablePart r:id="rId4"/>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2026-09-15T04:51:15.615Z</dcterms:created>
</cp:coreProperties>
</file>